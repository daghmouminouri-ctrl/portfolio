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NoNoMaster\OneDrive\Bureaublad\SQL\"/>
    </mc:Choice>
  </mc:AlternateContent>
  <xr:revisionPtr revIDLastSave="0" documentId="13_ncr:1_{4A44FB5B-7629-4FF2-82C8-8748EC39B8D2}" xr6:coauthVersionLast="47" xr6:coauthVersionMax="47" xr10:uidLastSave="{00000000-0000-0000-0000-000000000000}"/>
  <bookViews>
    <workbookView xWindow="28680" yWindow="-120" windowWidth="29040" windowHeight="15840" tabRatio="292" xr2:uid="{61E34C6D-615C-4304-95F2-A0633D86CFB3}"/>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2" i="1" l="1"/>
  <c r="E39" i="1"/>
  <c r="E38" i="1"/>
  <c r="E37" i="1"/>
  <c r="C41" i="1"/>
  <c r="I22" i="1"/>
  <c r="I23" i="1"/>
  <c r="I24" i="1"/>
  <c r="I26" i="1"/>
  <c r="I27" i="1"/>
  <c r="I28" i="1"/>
  <c r="G23" i="1" a="1"/>
  <c r="G23" i="1" s="1"/>
  <c r="H23" i="1" s="1"/>
  <c r="K23" i="1" s="1"/>
  <c r="G24" i="1" a="1"/>
  <c r="G24" i="1" s="1"/>
  <c r="H24" i="1" s="1"/>
  <c r="G26" i="1" a="1"/>
  <c r="G26" i="1" s="1"/>
  <c r="H26" i="1" s="1"/>
  <c r="K26" i="1" s="1"/>
  <c r="G27" i="1" a="1"/>
  <c r="G27" i="1" s="1"/>
  <c r="H27" i="1" s="1"/>
  <c r="K27" i="1" s="1"/>
  <c r="G28" i="1" a="1"/>
  <c r="G28" i="1" s="1"/>
  <c r="H28" i="1" s="1"/>
  <c r="G22" i="1" a="1"/>
  <c r="G22" i="1" s="1"/>
  <c r="H22" i="1" s="1"/>
  <c r="D22" i="1" a="1"/>
  <c r="D22" i="1" s="1"/>
  <c r="D23" i="1" a="1"/>
  <c r="D23" i="1" s="1"/>
  <c r="D24" i="1" a="1"/>
  <c r="D24" i="1" s="1"/>
  <c r="D26" i="1" a="1"/>
  <c r="D26" i="1" s="1"/>
  <c r="D27" i="1" a="1"/>
  <c r="D27" i="1" s="1"/>
  <c r="D28" i="1" a="1"/>
  <c r="D28" i="1" s="1"/>
  <c r="I7" i="1"/>
  <c r="I8" i="1"/>
  <c r="I9" i="1"/>
  <c r="I10" i="1"/>
  <c r="I11" i="1"/>
  <c r="I12" i="1"/>
  <c r="I13" i="1"/>
  <c r="I14" i="1"/>
  <c r="I15" i="1"/>
  <c r="I16" i="1"/>
  <c r="I17" i="1"/>
  <c r="I18" i="1"/>
  <c r="I29" i="1" s="1"/>
  <c r="C38" i="1" s="1"/>
  <c r="I19" i="1"/>
  <c r="I20" i="1"/>
  <c r="I6" i="1"/>
  <c r="G7" i="1" a="1"/>
  <c r="G7" i="1" s="1"/>
  <c r="H7" i="1" s="1"/>
  <c r="K7" i="1" s="1"/>
  <c r="G8" i="1" a="1"/>
  <c r="G8" i="1" s="1"/>
  <c r="H8" i="1" s="1"/>
  <c r="K8" i="1" s="1"/>
  <c r="G9" i="1" a="1"/>
  <c r="G9" i="1" s="1"/>
  <c r="H9" i="1" s="1"/>
  <c r="K9" i="1" s="1"/>
  <c r="G10" i="1" a="1"/>
  <c r="G10" i="1" s="1"/>
  <c r="H10" i="1" s="1"/>
  <c r="K10" i="1" s="1"/>
  <c r="G11" i="1" a="1"/>
  <c r="G11" i="1" s="1"/>
  <c r="H11" i="1" s="1"/>
  <c r="K11" i="1" s="1"/>
  <c r="G12" i="1" a="1"/>
  <c r="G12" i="1" s="1"/>
  <c r="H12" i="1" s="1"/>
  <c r="G13" i="1" a="1"/>
  <c r="G13" i="1" s="1"/>
  <c r="H13" i="1" s="1"/>
  <c r="K13" i="1" s="1"/>
  <c r="G14" i="1" a="1"/>
  <c r="G14" i="1" s="1"/>
  <c r="H14" i="1" s="1"/>
  <c r="J14" i="1" s="1"/>
  <c r="G15" i="1" a="1"/>
  <c r="G15" i="1" s="1"/>
  <c r="H15" i="1" s="1"/>
  <c r="K15" i="1" s="1"/>
  <c r="G16" i="1" a="1"/>
  <c r="G16" i="1" s="1"/>
  <c r="H16" i="1" s="1"/>
  <c r="K16" i="1" s="1"/>
  <c r="G17" i="1" a="1"/>
  <c r="G17" i="1" s="1"/>
  <c r="H17" i="1" s="1"/>
  <c r="K17" i="1" s="1"/>
  <c r="G18" i="1" a="1"/>
  <c r="G18" i="1" s="1"/>
  <c r="H18" i="1" s="1"/>
  <c r="J18" i="1" s="1"/>
  <c r="G19" i="1" a="1"/>
  <c r="G19" i="1" s="1"/>
  <c r="H19" i="1" s="1"/>
  <c r="K19" i="1" s="1"/>
  <c r="G20" i="1" a="1"/>
  <c r="G20" i="1" s="1"/>
  <c r="H20" i="1" s="1"/>
  <c r="J20" i="1" s="1"/>
  <c r="G6" i="1" a="1"/>
  <c r="G6" i="1" s="1"/>
  <c r="F3" i="2" s="1"/>
  <c r="B7" i="1" a="1"/>
  <c r="B7" i="1" s="1"/>
  <c r="B8" i="1" a="1"/>
  <c r="B8" i="1" s="1"/>
  <c r="B9" i="1" a="1"/>
  <c r="B9" i="1" s="1"/>
  <c r="B10" i="1" a="1"/>
  <c r="B10" i="1" s="1"/>
  <c r="B11" i="1" a="1"/>
  <c r="B11" i="1" s="1"/>
  <c r="B12" i="1" a="1"/>
  <c r="B12" i="1" s="1"/>
  <c r="B13" i="1" a="1"/>
  <c r="B13" i="1" s="1"/>
  <c r="B14" i="1" a="1"/>
  <c r="B14" i="1" s="1"/>
  <c r="B15" i="1" a="1"/>
  <c r="B15" i="1" s="1"/>
  <c r="B16" i="1" a="1"/>
  <c r="B16" i="1" s="1"/>
  <c r="B17" i="1" a="1"/>
  <c r="B17" i="1" s="1"/>
  <c r="B18" i="1" a="1"/>
  <c r="B18" i="1" s="1"/>
  <c r="B19" i="1" a="1"/>
  <c r="B19" i="1" s="1"/>
  <c r="B20" i="1" a="1"/>
  <c r="B20" i="1" s="1"/>
  <c r="B6" i="1" a="1"/>
  <c r="B6" i="1" s="1"/>
  <c r="B4" i="2"/>
  <c r="B5" i="2"/>
  <c r="B6" i="2"/>
  <c r="B7" i="2"/>
  <c r="B8" i="2"/>
  <c r="B9" i="2"/>
  <c r="B10" i="2"/>
  <c r="B11" i="2"/>
  <c r="B12" i="2"/>
  <c r="B13" i="2"/>
  <c r="B14" i="2"/>
  <c r="B15" i="2"/>
  <c r="B16" i="2"/>
  <c r="B17" i="2"/>
  <c r="H3" i="2"/>
  <c r="L3" i="2"/>
  <c r="M3" i="2"/>
  <c r="N3" i="2"/>
  <c r="O3" i="2"/>
  <c r="P3" i="2"/>
  <c r="Q3" i="2"/>
  <c r="R3" i="2"/>
  <c r="S3" i="2"/>
  <c r="T3" i="2"/>
  <c r="B3" i="2"/>
  <c r="D15" i="1" a="1"/>
  <c r="D15" i="1" s="1"/>
  <c r="D16" i="1" a="1"/>
  <c r="D16" i="1" s="1"/>
  <c r="D17" i="1" a="1"/>
  <c r="D17" i="1" s="1"/>
  <c r="D18" i="1" a="1"/>
  <c r="D18" i="1" s="1"/>
  <c r="D19" i="1" a="1"/>
  <c r="D19" i="1" s="1"/>
  <c r="D20" i="1" a="1"/>
  <c r="D20" i="1" s="1"/>
  <c r="D7" i="1" a="1"/>
  <c r="D7" i="1" s="1"/>
  <c r="D8" i="1" a="1"/>
  <c r="D8" i="1" s="1"/>
  <c r="D9" i="1" a="1"/>
  <c r="D9" i="1" s="1"/>
  <c r="D10" i="1" a="1"/>
  <c r="D10" i="1" s="1"/>
  <c r="D11" i="1" a="1"/>
  <c r="D11" i="1" s="1"/>
  <c r="D12" i="1" a="1"/>
  <c r="D12" i="1" s="1"/>
  <c r="D13" i="1" a="1"/>
  <c r="D13" i="1" s="1"/>
  <c r="D14" i="1" a="1"/>
  <c r="D14" i="1" s="1"/>
  <c r="D6" i="1" a="1"/>
  <c r="D6" i="1" s="1"/>
  <c r="C3" i="2" a="1"/>
  <c r="C5" i="2" s="1" a="1"/>
  <c r="F38" i="1" l="1"/>
  <c r="F39" i="1"/>
  <c r="J28" i="1"/>
  <c r="K28" i="1"/>
  <c r="J24" i="1"/>
  <c r="K24" i="1"/>
  <c r="J27" i="1"/>
  <c r="J26" i="1"/>
  <c r="J23" i="1"/>
  <c r="J22" i="1"/>
  <c r="K22" i="1"/>
  <c r="J17" i="1"/>
  <c r="K18" i="1"/>
  <c r="J19" i="1"/>
  <c r="K20" i="1"/>
  <c r="K14" i="1"/>
  <c r="J16" i="1"/>
  <c r="J15" i="1"/>
  <c r="K12" i="1"/>
  <c r="J13" i="1"/>
  <c r="J11" i="1"/>
  <c r="J10" i="1"/>
  <c r="J9" i="1"/>
  <c r="J8" i="1"/>
  <c r="J7" i="1"/>
  <c r="J12" i="1"/>
  <c r="H6" i="1"/>
  <c r="J37" i="1" s="1"/>
  <c r="C5" i="2"/>
  <c r="C3" i="2"/>
  <c r="K37" i="1" l="1"/>
  <c r="K38" i="1"/>
  <c r="K39" i="1"/>
  <c r="K41" i="1"/>
  <c r="J38" i="1"/>
  <c r="J39" i="1"/>
  <c r="J40" i="1"/>
  <c r="J41" i="1"/>
  <c r="K40" i="1"/>
  <c r="K6" i="1"/>
  <c r="J3" i="2" s="1"/>
  <c r="F37" i="1"/>
  <c r="G3" i="2"/>
  <c r="H29" i="1"/>
  <c r="J6" i="1"/>
  <c r="I3" i="2" s="1"/>
  <c r="F40" i="1" l="1"/>
  <c r="C37" i="1"/>
  <c r="L7" i="1"/>
  <c r="K29" i="1"/>
  <c r="C40" i="1" s="1"/>
  <c r="L12" i="1"/>
  <c r="L23" i="1"/>
  <c r="L28" i="1"/>
  <c r="L11" i="1"/>
  <c r="L22" i="1"/>
  <c r="L10" i="1"/>
  <c r="L8" i="1"/>
  <c r="L27" i="1"/>
  <c r="L18" i="1"/>
  <c r="L17" i="1"/>
  <c r="L9" i="1"/>
  <c r="L15" i="1"/>
  <c r="L20" i="1"/>
  <c r="L13" i="1"/>
  <c r="L16" i="1"/>
  <c r="L26" i="1"/>
  <c r="J29" i="1"/>
  <c r="C39" i="1" s="1"/>
  <c r="L14" i="1"/>
  <c r="L19" i="1"/>
  <c r="L24" i="1"/>
  <c r="L6" i="1"/>
  <c r="G38" i="1" l="1"/>
  <c r="G39" i="1"/>
  <c r="G37" i="1"/>
  <c r="G40" i="1" s="1"/>
  <c r="K3" i="2"/>
  <c r="L29"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4">
    <bk>
      <extLst>
        <ext uri="{3e2802c4-a4d2-4d8b-9148-e3be6c30e623}">
          <xlrd:rvb i="2"/>
        </ext>
      </extLst>
    </bk>
    <bk>
      <extLst>
        <ext uri="{3e2802c4-a4d2-4d8b-9148-e3be6c30e623}">
          <xlrd:rvb i="5"/>
        </ext>
      </extLst>
    </bk>
    <bk>
      <extLst>
        <ext uri="{3e2802c4-a4d2-4d8b-9148-e3be6c30e623}">
          <xlrd:rvb i="12"/>
        </ext>
      </extLst>
    </bk>
    <bk>
      <extLst>
        <ext uri="{3e2802c4-a4d2-4d8b-9148-e3be6c30e623}">
          <xlrd:rvb i="15"/>
        </ext>
      </extLst>
    </bk>
    <bk>
      <extLst>
        <ext uri="{3e2802c4-a4d2-4d8b-9148-e3be6c30e623}">
          <xlrd:rvb i="18"/>
        </ext>
      </extLst>
    </bk>
    <bk>
      <extLst>
        <ext uri="{3e2802c4-a4d2-4d8b-9148-e3be6c30e623}">
          <xlrd:rvb i="21"/>
        </ext>
      </extLst>
    </bk>
    <bk>
      <extLst>
        <ext uri="{3e2802c4-a4d2-4d8b-9148-e3be6c30e623}">
          <xlrd:rvb i="24"/>
        </ext>
      </extLst>
    </bk>
    <bk>
      <extLst>
        <ext uri="{3e2802c4-a4d2-4d8b-9148-e3be6c30e623}">
          <xlrd:rvb i="27"/>
        </ext>
      </extLst>
    </bk>
    <bk>
      <extLst>
        <ext uri="{3e2802c4-a4d2-4d8b-9148-e3be6c30e623}">
          <xlrd:rvb i="30"/>
        </ext>
      </extLst>
    </bk>
    <bk>
      <extLst>
        <ext uri="{3e2802c4-a4d2-4d8b-9148-e3be6c30e623}">
          <xlrd:rvb i="33"/>
        </ext>
      </extLst>
    </bk>
    <bk>
      <extLst>
        <ext uri="{3e2802c4-a4d2-4d8b-9148-e3be6c30e623}">
          <xlrd:rvb i="36"/>
        </ext>
      </extLst>
    </bk>
    <bk>
      <extLst>
        <ext uri="{3e2802c4-a4d2-4d8b-9148-e3be6c30e623}">
          <xlrd:rvb i="39"/>
        </ext>
      </extLst>
    </bk>
    <bk>
      <extLst>
        <ext uri="{3e2802c4-a4d2-4d8b-9148-e3be6c30e623}">
          <xlrd:rvb i="42"/>
        </ext>
      </extLst>
    </bk>
    <bk>
      <extLst>
        <ext uri="{3e2802c4-a4d2-4d8b-9148-e3be6c30e623}">
          <xlrd:rvb i="45"/>
        </ext>
      </extLst>
    </bk>
    <bk>
      <extLst>
        <ext uri="{3e2802c4-a4d2-4d8b-9148-e3be6c30e623}">
          <xlrd:rvb i="47"/>
        </ext>
      </extLst>
    </bk>
    <bk>
      <extLst>
        <ext uri="{3e2802c4-a4d2-4d8b-9148-e3be6c30e623}">
          <xlrd:rvb i="49"/>
        </ext>
      </extLst>
    </bk>
    <bk>
      <extLst>
        <ext uri="{3e2802c4-a4d2-4d8b-9148-e3be6c30e623}">
          <xlrd:rvb i="52"/>
        </ext>
      </extLst>
    </bk>
    <bk>
      <extLst>
        <ext uri="{3e2802c4-a4d2-4d8b-9148-e3be6c30e623}">
          <xlrd:rvb i="55"/>
        </ext>
      </extLst>
    </bk>
    <bk>
      <extLst>
        <ext uri="{3e2802c4-a4d2-4d8b-9148-e3be6c30e623}">
          <xlrd:rvb i="58"/>
        </ext>
      </extLst>
    </bk>
    <bk>
      <extLst>
        <ext uri="{3e2802c4-a4d2-4d8b-9148-e3be6c30e623}">
          <xlrd:rvb i="60"/>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futureMetadata>
  <cellMetadata count="1">
    <bk>
      <rc t="1" v="0"/>
    </bk>
  </cellMetadata>
  <valueMetadata count="24">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valueMetadata>
</metadata>
</file>

<file path=xl/sharedStrings.xml><?xml version="1.0" encoding="utf-8"?>
<sst xmlns="http://schemas.openxmlformats.org/spreadsheetml/2006/main" count="34" uniqueCount="34">
  <si>
    <t>portfolio tracker</t>
  </si>
  <si>
    <t xml:space="preserve">last update </t>
  </si>
  <si>
    <t>Ticker</t>
  </si>
  <si>
    <t>name</t>
  </si>
  <si>
    <t>shares</t>
  </si>
  <si>
    <t>cost basis</t>
  </si>
  <si>
    <t>current price</t>
  </si>
  <si>
    <t>market value</t>
  </si>
  <si>
    <t>total cost</t>
  </si>
  <si>
    <t>G/L</t>
  </si>
  <si>
    <t>weight</t>
  </si>
  <si>
    <t>STOCKS</t>
  </si>
  <si>
    <t>%</t>
  </si>
  <si>
    <t>ETF'S</t>
  </si>
  <si>
    <t>ALTERNATIVE</t>
  </si>
  <si>
    <t>GLD</t>
  </si>
  <si>
    <t>IBIT</t>
  </si>
  <si>
    <t>SLV</t>
  </si>
  <si>
    <t xml:space="preserve">PORTFOLIO TOTAL </t>
  </si>
  <si>
    <t xml:space="preserve">Portfolio summary </t>
  </si>
  <si>
    <t>TOT market value</t>
  </si>
  <si>
    <t>TOT cost</t>
  </si>
  <si>
    <t>TOT gain/Loss</t>
  </si>
  <si>
    <t>TOT return %</t>
  </si>
  <si>
    <t># of holdings</t>
  </si>
  <si>
    <t>Asset Class</t>
  </si>
  <si>
    <t xml:space="preserve">Value </t>
  </si>
  <si>
    <t>Allocation</t>
  </si>
  <si>
    <t>total</t>
  </si>
  <si>
    <t>rank</t>
  </si>
  <si>
    <t>holding</t>
  </si>
  <si>
    <t>amounts</t>
  </si>
  <si>
    <t xml:space="preserve">portfolio allocation </t>
  </si>
  <si>
    <t>Top 5 Holdings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</si>
</sst>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409]* #,##0.00_);_([$$-409]* \(#,##0.00\);_([$$-409]* &quot;-&quot;??_);_(@_)"/>
    <numFmt numFmtId="166" formatCode="_-[$$-409]* #,##0.00_ ;_-[$$-409]* \-#,##0.00\ ;_-[$$-409]* &quot;-&quot;??_ ;_-@_ "/>
  </numFmts>
  <fonts count="6"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11"/>
      <color theme="2" tint="-0.499984740745262"/>
      <name val="Aptos Narrow"/>
      <family val="2"/>
      <scheme val="minor"/>
    </font>
  </fonts>
  <fills count="4">
    <fill>
      <patternFill patternType="none"/>
    </fill>
    <fill>
      <patternFill patternType="gray125"/>
    </fill>
    <fill>
      <patternFill patternType="solid">
        <fgColor theme="4" tint="-0.249977111117893"/>
        <bgColor indexed="64"/>
      </patternFill>
    </fill>
    <fill>
      <patternFill patternType="solid">
        <fgColor theme="2" tint="-0.49998474074526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41">
    <xf numFmtId="0" fontId="0" fillId="0" borderId="0" xfId="0"/>
    <xf numFmtId="0" fontId="5" fillId="0" borderId="0" xfId="0" applyFont="1" applyFill="1"/>
    <xf numFmtId="14" fontId="5" fillId="0" borderId="0" xfId="0" applyNumberFormat="1" applyFont="1" applyFill="1"/>
    <xf numFmtId="0" fontId="0" fillId="0" borderId="0" xfId="0" applyFont="1"/>
    <xf numFmtId="14" fontId="0" fillId="0" borderId="0" xfId="0" applyNumberFormat="1"/>
    <xf numFmtId="0" fontId="3" fillId="2" borderId="5" xfId="0" applyFont="1" applyFill="1" applyBorder="1"/>
    <xf numFmtId="0" fontId="0" fillId="2" borderId="0" xfId="0" applyFont="1" applyFill="1" applyBorder="1"/>
    <xf numFmtId="14" fontId="0" fillId="2" borderId="0" xfId="0" applyNumberFormat="1" applyFont="1" applyFill="1" applyBorder="1"/>
    <xf numFmtId="0" fontId="0" fillId="2" borderId="6" xfId="0" applyFont="1" applyFill="1" applyBorder="1"/>
    <xf numFmtId="0" fontId="0" fillId="0" borderId="5" xfId="0" applyBorder="1"/>
    <xf numFmtId="0" fontId="0" fillId="0" borderId="0" xfId="0" applyBorder="1"/>
    <xf numFmtId="164" fontId="0" fillId="0" borderId="0" xfId="0" applyNumberFormat="1" applyBorder="1"/>
    <xf numFmtId="166" fontId="0" fillId="0" borderId="0" xfId="0" applyNumberFormat="1" applyBorder="1"/>
    <xf numFmtId="10" fontId="0" fillId="0" borderId="0" xfId="1" applyNumberFormat="1" applyFont="1" applyBorder="1"/>
    <xf numFmtId="10" fontId="0" fillId="0" borderId="6" xfId="1" applyNumberFormat="1" applyFont="1" applyBorder="1"/>
    <xf numFmtId="0" fontId="2" fillId="3" borderId="7" xfId="0" applyFont="1" applyFill="1" applyBorder="1"/>
    <xf numFmtId="0" fontId="2" fillId="3" borderId="8" xfId="0" applyFont="1" applyFill="1" applyBorder="1"/>
    <xf numFmtId="166" fontId="2" fillId="3" borderId="8" xfId="0" applyNumberFormat="1" applyFont="1" applyFill="1" applyBorder="1"/>
    <xf numFmtId="10" fontId="2" fillId="3" borderId="8" xfId="1" applyNumberFormat="1" applyFont="1" applyFill="1" applyBorder="1"/>
    <xf numFmtId="10" fontId="2" fillId="3" borderId="9" xfId="0" applyNumberFormat="1" applyFont="1" applyFill="1" applyBorder="1"/>
    <xf numFmtId="0" fontId="2" fillId="3" borderId="2" xfId="0" applyFont="1" applyFill="1" applyBorder="1"/>
    <xf numFmtId="0" fontId="2" fillId="3" borderId="2" xfId="0" applyFont="1" applyFill="1" applyBorder="1" applyAlignment="1">
      <alignment horizontal="left" vertical="top"/>
    </xf>
    <xf numFmtId="0" fontId="2" fillId="3" borderId="3" xfId="0" applyFont="1" applyFill="1" applyBorder="1" applyAlignment="1">
      <alignment horizontal="left" vertical="top"/>
    </xf>
    <xf numFmtId="14" fontId="2" fillId="3" borderId="3" xfId="0" applyNumberFormat="1" applyFont="1" applyFill="1" applyBorder="1" applyAlignment="1">
      <alignment horizontal="left" vertical="top"/>
    </xf>
    <xf numFmtId="0" fontId="2" fillId="3" borderId="4" xfId="0" applyFont="1" applyFill="1" applyBorder="1" applyAlignment="1">
      <alignment horizontal="left" vertical="top"/>
    </xf>
    <xf numFmtId="166" fontId="0" fillId="0" borderId="6" xfId="0" applyNumberFormat="1" applyBorder="1"/>
    <xf numFmtId="9" fontId="0" fillId="0" borderId="6" xfId="1" applyFont="1" applyBorder="1"/>
    <xf numFmtId="0" fontId="0" fillId="0" borderId="7" xfId="0" applyBorder="1"/>
    <xf numFmtId="166" fontId="0" fillId="0" borderId="9" xfId="0" applyNumberFormat="1" applyBorder="1"/>
    <xf numFmtId="0" fontId="2" fillId="3" borderId="10" xfId="0" applyFont="1" applyFill="1" applyBorder="1"/>
    <xf numFmtId="0" fontId="2" fillId="3" borderId="1" xfId="0" applyFont="1" applyFill="1" applyBorder="1"/>
    <xf numFmtId="10" fontId="0" fillId="0" borderId="6" xfId="0" applyNumberFormat="1" applyBorder="1"/>
    <xf numFmtId="166" fontId="0" fillId="0" borderId="8" xfId="0" applyNumberFormat="1" applyBorder="1"/>
    <xf numFmtId="10" fontId="0" fillId="0" borderId="9" xfId="0" applyNumberFormat="1" applyBorder="1"/>
    <xf numFmtId="0" fontId="2" fillId="3" borderId="11" xfId="0" applyFont="1" applyFill="1" applyBorder="1"/>
    <xf numFmtId="0" fontId="0" fillId="0" borderId="8" xfId="0" applyBorder="1"/>
    <xf numFmtId="0" fontId="2" fillId="3" borderId="10" xfId="0" applyFont="1" applyFill="1" applyBorder="1" applyAlignment="1">
      <alignment horizontal="center"/>
    </xf>
    <xf numFmtId="0" fontId="2" fillId="3" borderId="12" xfId="0" applyFont="1" applyFill="1" applyBorder="1" applyAlignment="1">
      <alignment horizontal="center"/>
    </xf>
    <xf numFmtId="0" fontId="2" fillId="3" borderId="0" xfId="0" applyFont="1" applyFill="1" applyBorder="1" applyAlignment="1">
      <alignment horizontal="center" vertical="top"/>
    </xf>
    <xf numFmtId="0" fontId="2" fillId="0" borderId="0" xfId="0" applyFont="1" applyFill="1" applyBorder="1" applyAlignment="1">
      <alignment vertical="top"/>
    </xf>
    <xf numFmtId="0" fontId="4" fillId="0" borderId="0" xfId="0" applyFont="1" applyFill="1"/>
  </cellXfs>
  <cellStyles count="2">
    <cellStyle name="Normal" xfId="0" builtinId="0"/>
    <cellStyle name="Percent" xfId="1" builtinId="5"/>
  </cellStyles>
  <dxfs count="0"/>
  <tableStyles count="1" defaultTableStyle="TableStyleMedium2" defaultPivotStyle="PivotStyleLight16">
    <tableStyle name="Invisible" pivot="0" table="0" count="0" xr9:uid="{F98B92DA-BAF7-426C-8689-EDA0B3455216}"/>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13" Type="http://schemas.microsoft.com/office/2017/06/relationships/rdRichValueTypes" Target="richData/rdRichValueTypes.xml"/><Relationship Id="rId3" Type="http://schemas.openxmlformats.org/officeDocument/2006/relationships/theme" Target="theme/theme1.xml"/><Relationship Id="rId7" Type="http://schemas.microsoft.com/office/2017/06/relationships/rdRichValue" Target="richData/rdrichvalue.xml"/><Relationship Id="rId12" Type="http://schemas.microsoft.com/office/2017/06/relationships/rdSupportingPropertyBag" Target="richData/rdsupportingpropertybag.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microsoft.com/office/2017/06/relationships/rdSupportingPropertyBagStructure" Target="richData/rdsupportingpropertybagstructure.xml"/><Relationship Id="rId5" Type="http://schemas.openxmlformats.org/officeDocument/2006/relationships/sharedStrings" Target="sharedStrings.xml"/><Relationship Id="rId10" Type="http://schemas.microsoft.com/office/2017/06/relationships/richStyles" Target="richData/richStyles.xml"/><Relationship Id="rId4" Type="http://schemas.openxmlformats.org/officeDocument/2006/relationships/styles" Target="styles.xml"/><Relationship Id="rId9" Type="http://schemas.microsoft.com/office/2017/06/relationships/rdArray" Target="richData/rdarray.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pieChart>
        <c:varyColors val="1"/>
        <c:ser>
          <c:idx val="0"/>
          <c:order val="0"/>
          <c:tx>
            <c:strRef>
              <c:f>Sheet1!$G$36</c:f>
              <c:strCache>
                <c:ptCount val="1"/>
                <c:pt idx="0">
                  <c:v>Allocation</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2-2C7A-4B8B-9F02-FA0AF6A66487}"/>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1-2C7A-4B8B-9F02-FA0AF6A66487}"/>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3-2C7A-4B8B-9F02-FA0AF6A66487}"/>
              </c:ext>
            </c:extLst>
          </c:dPt>
          <c:cat>
            <c:strRef>
              <c:f>Sheet1!$E$37:$E$39</c:f>
              <c:strCache>
                <c:ptCount val="3"/>
                <c:pt idx="0">
                  <c:v>STOCKS</c:v>
                </c:pt>
                <c:pt idx="1">
                  <c:v>ETF'S</c:v>
                </c:pt>
                <c:pt idx="2">
                  <c:v>ALTERNATIVE</c:v>
                </c:pt>
              </c:strCache>
            </c:strRef>
          </c:cat>
          <c:val>
            <c:numRef>
              <c:f>Sheet1!$G$37:$G$39</c:f>
              <c:numCache>
                <c:formatCode>0.00%</c:formatCode>
                <c:ptCount val="3"/>
                <c:pt idx="0">
                  <c:v>0.37725781413502024</c:v>
                </c:pt>
                <c:pt idx="1">
                  <c:v>0.3870894155869225</c:v>
                </c:pt>
                <c:pt idx="2">
                  <c:v>0.23565277027805726</c:v>
                </c:pt>
              </c:numCache>
            </c:numRef>
          </c:val>
          <c:extLst>
            <c:ext xmlns:c16="http://schemas.microsoft.com/office/drawing/2014/chart" uri="{C3380CC4-5D6E-409C-BE32-E72D297353CC}">
              <c16:uniqueId val="{00000000-2C7A-4B8B-9F02-FA0AF6A66487}"/>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5860178958096219"/>
          <c:y val="0.1735204678362573"/>
          <c:w val="0.6133038616040718"/>
          <c:h val="0.77501754385964916"/>
        </c:manualLayout>
      </c:layout>
      <c:barChart>
        <c:barDir val="bar"/>
        <c:grouping val="clustered"/>
        <c:varyColors val="0"/>
        <c:ser>
          <c:idx val="0"/>
          <c:order val="0"/>
          <c:tx>
            <c:strRef>
              <c:f>Sheet1!$J$36</c:f>
              <c:strCache>
                <c:ptCount val="1"/>
                <c:pt idx="0">
                  <c:v>holding</c:v>
                </c:pt>
              </c:strCache>
            </c:strRef>
          </c:tx>
          <c:spPr>
            <a:solidFill>
              <a:schemeClr val="accent1">
                <a:shade val="50000"/>
              </a:schemeClr>
            </a:solidFill>
            <a:ln>
              <a:noFill/>
            </a:ln>
            <a:effectLst/>
          </c:spPr>
          <c:invertIfNegative val="0"/>
          <c:dLbls>
            <c:delete val="1"/>
          </c:dLbls>
          <c:cat>
            <c:numRef>
              <c:f>Sheet1!$E$46</c:f>
              <c:numCache>
                <c:formatCode>General</c:formatCode>
                <c:ptCount val="1"/>
              </c:numCache>
            </c:numRef>
          </c:cat>
          <c:val>
            <c:numRef>
              <c:f>Sheet1!$K$36</c:f>
              <c:numCache>
                <c:formatCode>General</c:formatCode>
                <c:ptCount val="1"/>
                <c:pt idx="0">
                  <c:v>0</c:v>
                </c:pt>
              </c:numCache>
            </c:numRef>
          </c:val>
          <c:extLst>
            <c:ext xmlns:c16="http://schemas.microsoft.com/office/drawing/2014/chart" uri="{C3380CC4-5D6E-409C-BE32-E72D297353CC}">
              <c16:uniqueId val="{00000000-2AC4-4747-8B7C-1B6EB2F96541}"/>
            </c:ext>
          </c:extLst>
        </c:ser>
        <c:ser>
          <c:idx val="1"/>
          <c:order val="1"/>
          <c:tx>
            <c:strRef>
              <c:f>Sheet1!$J$37</c:f>
              <c:strCache>
                <c:ptCount val="1"/>
                <c:pt idx="0">
                  <c:v>Invesco QQQ Mega Fund</c:v>
                </c:pt>
              </c:strCache>
            </c:strRef>
          </c:tx>
          <c:spPr>
            <a:solidFill>
              <a:schemeClr val="accent1">
                <a:shade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Sheet1!$E$46</c:f>
              <c:numCache>
                <c:formatCode>General</c:formatCode>
                <c:ptCount val="1"/>
              </c:numCache>
            </c:numRef>
          </c:cat>
          <c:val>
            <c:numRef>
              <c:f>Sheet1!$K$37</c:f>
              <c:numCache>
                <c:formatCode>_-[$$-409]* #,##0.00_ ;_-[$$-409]* \-#,##0.00\ ;_-[$$-409]* "-"??_ ;_-@_ </c:formatCode>
                <c:ptCount val="1"/>
                <c:pt idx="0">
                  <c:v>14056</c:v>
                </c:pt>
              </c:numCache>
            </c:numRef>
          </c:val>
          <c:extLst>
            <c:ext xmlns:c16="http://schemas.microsoft.com/office/drawing/2014/chart" uri="{C3380CC4-5D6E-409C-BE32-E72D297353CC}">
              <c16:uniqueId val="{00000001-2AC4-4747-8B7C-1B6EB2F96541}"/>
            </c:ext>
          </c:extLst>
        </c:ser>
        <c:ser>
          <c:idx val="2"/>
          <c:order val="2"/>
          <c:tx>
            <c:strRef>
              <c:f>Sheet1!$J$38</c:f>
              <c:strCache>
                <c:ptCount val="1"/>
                <c:pt idx="0">
                  <c:v>SPDR Gold</c:v>
                </c:pt>
              </c:strCache>
            </c:strRef>
          </c:tx>
          <c:spPr>
            <a:solidFill>
              <a:schemeClr val="accent1">
                <a:shade val="9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Sheet1!$E$46</c:f>
              <c:numCache>
                <c:formatCode>General</c:formatCode>
                <c:ptCount val="1"/>
              </c:numCache>
            </c:numRef>
          </c:cat>
          <c:val>
            <c:numRef>
              <c:f>Sheet1!$K$38</c:f>
              <c:numCache>
                <c:formatCode>_-[$$-409]* #,##0.00_ ;_-[$$-409]* \-#,##0.00\ ;_-[$$-409]* "-"??_ ;_-@_ </c:formatCode>
                <c:ptCount val="1"/>
                <c:pt idx="0">
                  <c:v>13590.063300000002</c:v>
                </c:pt>
              </c:numCache>
            </c:numRef>
          </c:val>
          <c:extLst>
            <c:ext xmlns:c16="http://schemas.microsoft.com/office/drawing/2014/chart" uri="{C3380CC4-5D6E-409C-BE32-E72D297353CC}">
              <c16:uniqueId val="{00000002-2AC4-4747-8B7C-1B6EB2F96541}"/>
            </c:ext>
          </c:extLst>
        </c:ser>
        <c:ser>
          <c:idx val="3"/>
          <c:order val="3"/>
          <c:tx>
            <c:strRef>
              <c:f>Sheet1!$J$39</c:f>
              <c:strCache>
                <c:ptCount val="1"/>
                <c:pt idx="0">
                  <c:v>ASML Holding NV</c:v>
                </c:pt>
              </c:strCache>
            </c:strRef>
          </c:tx>
          <c:spPr>
            <a:solidFill>
              <a:schemeClr val="accent1">
                <a:tint val="9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Sheet1!$E$46</c:f>
              <c:numCache>
                <c:formatCode>General</c:formatCode>
                <c:ptCount val="1"/>
              </c:numCache>
            </c:numRef>
          </c:cat>
          <c:val>
            <c:numRef>
              <c:f>Sheet1!$K$39</c:f>
              <c:numCache>
                <c:formatCode>_-[$$-409]* #,##0.00_ ;_-[$$-409]* \-#,##0.00\ ;_-[$$-409]* "-"??_ ;_-@_ </c:formatCode>
                <c:ptCount val="1"/>
                <c:pt idx="0">
                  <c:v>12239.389904761907</c:v>
                </c:pt>
              </c:numCache>
            </c:numRef>
          </c:val>
          <c:extLst>
            <c:ext xmlns:c16="http://schemas.microsoft.com/office/drawing/2014/chart" uri="{C3380CC4-5D6E-409C-BE32-E72D297353CC}">
              <c16:uniqueId val="{00000003-2AC4-4747-8B7C-1B6EB2F96541}"/>
            </c:ext>
          </c:extLst>
        </c:ser>
        <c:ser>
          <c:idx val="4"/>
          <c:order val="4"/>
          <c:tx>
            <c:strRef>
              <c:f>Sheet1!$J$40</c:f>
              <c:strCache>
                <c:ptCount val="1"/>
                <c:pt idx="0">
                  <c:v>State Street SPDR S&amp;P500</c:v>
                </c:pt>
              </c:strCache>
            </c:strRef>
          </c:tx>
          <c:spPr>
            <a:solidFill>
              <a:schemeClr val="accent1">
                <a:tint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Sheet1!$E$46</c:f>
              <c:numCache>
                <c:formatCode>General</c:formatCode>
                <c:ptCount val="1"/>
              </c:numCache>
            </c:numRef>
          </c:cat>
          <c:val>
            <c:numRef>
              <c:f>Sheet1!$K$40</c:f>
              <c:numCache>
                <c:formatCode>_-[$$-409]* #,##0.00_ ;_-[$$-409]* \-#,##0.00\ ;_-[$$-409]* "-"??_ ;_-@_ </c:formatCode>
                <c:ptCount val="1"/>
                <c:pt idx="0">
                  <c:v>9112.380000000001</c:v>
                </c:pt>
              </c:numCache>
            </c:numRef>
          </c:val>
          <c:extLst>
            <c:ext xmlns:c16="http://schemas.microsoft.com/office/drawing/2014/chart" uri="{C3380CC4-5D6E-409C-BE32-E72D297353CC}">
              <c16:uniqueId val="{00000004-2AC4-4747-8B7C-1B6EB2F96541}"/>
            </c:ext>
          </c:extLst>
        </c:ser>
        <c:ser>
          <c:idx val="5"/>
          <c:order val="5"/>
          <c:tx>
            <c:strRef>
              <c:f>Sheet1!$J$41</c:f>
              <c:strCache>
                <c:ptCount val="1"/>
                <c:pt idx="0">
                  <c:v>Vanguard 500 Index Fund;Institutional Select</c:v>
                </c:pt>
              </c:strCache>
            </c:strRef>
          </c:tx>
          <c:spPr>
            <a:solidFill>
              <a:schemeClr val="accent1">
                <a:tint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Sheet1!$E$46</c:f>
              <c:numCache>
                <c:formatCode>General</c:formatCode>
                <c:ptCount val="1"/>
              </c:numCache>
            </c:numRef>
          </c:cat>
          <c:val>
            <c:numRef>
              <c:f>Sheet1!$K$41</c:f>
              <c:numCache>
                <c:formatCode>_-[$$-409]* #,##0.00_ ;_-[$$-409]* \-#,##0.00\ ;_-[$$-409]* "-"??_ ;_-@_ </c:formatCode>
                <c:ptCount val="1"/>
                <c:pt idx="0">
                  <c:v>3352.7699999999995</c:v>
                </c:pt>
              </c:numCache>
            </c:numRef>
          </c:val>
          <c:extLst>
            <c:ext xmlns:c16="http://schemas.microsoft.com/office/drawing/2014/chart" uri="{C3380CC4-5D6E-409C-BE32-E72D297353CC}">
              <c16:uniqueId val="{00000005-2AC4-4747-8B7C-1B6EB2F96541}"/>
            </c:ext>
          </c:extLst>
        </c:ser>
        <c:dLbls>
          <c:dLblPos val="outEnd"/>
          <c:showLegendKey val="0"/>
          <c:showVal val="1"/>
          <c:showCatName val="0"/>
          <c:showSerName val="0"/>
          <c:showPercent val="0"/>
          <c:showBubbleSize val="0"/>
        </c:dLbls>
        <c:gapWidth val="182"/>
        <c:axId val="1576333407"/>
        <c:axId val="1576334847"/>
      </c:barChart>
      <c:catAx>
        <c:axId val="15763334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6334847"/>
        <c:crosses val="autoZero"/>
        <c:auto val="1"/>
        <c:lblAlgn val="ctr"/>
        <c:lblOffset val="100"/>
        <c:noMultiLvlLbl val="0"/>
      </c:catAx>
      <c:valAx>
        <c:axId val="1576334847"/>
        <c:scaling>
          <c:orientation val="minMax"/>
        </c:scaling>
        <c:delete val="1"/>
        <c:axPos val="b"/>
        <c:numFmt formatCode="General" sourceLinked="1"/>
        <c:majorTickMark val="none"/>
        <c:minorTickMark val="none"/>
        <c:tickLblPos val="nextTo"/>
        <c:crossAx val="1576333407"/>
        <c:crosses val="autoZero"/>
        <c:crossBetween val="between"/>
      </c:valAx>
      <c:spPr>
        <a:noFill/>
        <a:ln>
          <a:noFill/>
        </a:ln>
        <a:effectLst/>
      </c:spPr>
    </c:plotArea>
    <c:legend>
      <c:legendPos val="l"/>
      <c:layout>
        <c:manualLayout>
          <c:xMode val="edge"/>
          <c:yMode val="edge"/>
          <c:x val="1.8583040707345642E-2"/>
          <c:y val="0.17155224018050375"/>
          <c:w val="0.2065409864570604"/>
          <c:h val="0.7789539991711562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609599</xdr:colOff>
      <xdr:row>45</xdr:row>
      <xdr:rowOff>9525</xdr:rowOff>
    </xdr:from>
    <xdr:to>
      <xdr:col>3</xdr:col>
      <xdr:colOff>0</xdr:colOff>
      <xdr:row>59</xdr:row>
      <xdr:rowOff>0</xdr:rowOff>
    </xdr:to>
    <xdr:graphicFrame macro="">
      <xdr:nvGraphicFramePr>
        <xdr:cNvPr id="2" name="Chart 1">
          <a:extLst>
            <a:ext uri="{FF2B5EF4-FFF2-40B4-BE49-F238E27FC236}">
              <a16:creationId xmlns:a16="http://schemas.microsoft.com/office/drawing/2014/main" id="{5B464000-25D2-9022-7775-0A9158685F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4762</xdr:colOff>
      <xdr:row>45</xdr:row>
      <xdr:rowOff>19050</xdr:rowOff>
    </xdr:from>
    <xdr:to>
      <xdr:col>10</xdr:col>
      <xdr:colOff>19050</xdr:colOff>
      <xdr:row>59</xdr:row>
      <xdr:rowOff>66675</xdr:rowOff>
    </xdr:to>
    <xdr:graphicFrame macro="">
      <xdr:nvGraphicFramePr>
        <xdr:cNvPr id="3" name="Chart 2">
          <a:extLst>
            <a:ext uri="{FF2B5EF4-FFF2-40B4-BE49-F238E27FC236}">
              <a16:creationId xmlns:a16="http://schemas.microsoft.com/office/drawing/2014/main" id="{F9BEB323-5D6A-ACA5-72C9-05BCBDD208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array.xml><?xml version="1.0" encoding="utf-8"?>
<arrayData xmlns="http://schemas.microsoft.com/office/spreadsheetml/2017/richdata2" count="3">
  <a r="1">
    <v t="i">0</v>
  </a>
  <a r="1">
    <v>4.3880000000000002E-2</v>
  </a>
  <a r="1">
    <v>46.531300000000002</v>
  </a>
</arrayData>
</file>

<file path=xl/richData/rdrichvalue.xml><?xml version="1.0" encoding="utf-8"?>
<rvData xmlns="http://schemas.microsoft.com/office/spreadsheetml/2017/richdata" count="69">
  <rv s="0">
    <v>https://www.bing.com/financeapi/forcetrigger?t=a1yv52&amp;q=XNAS%3aNVDA&amp;form=skydnc</v>
    <v>Learn more on Bing</v>
  </rv>
  <rv s="1">
    <v>en-GB</v>
    <v>a1yv52</v>
    <v>268435456</v>
    <v>1</v>
    <v>Powered by Refinitiv</v>
    <v>0</v>
    <v>NVIDIA CORPORATION (XNAS:NVDA)</v>
    <v>2</v>
    <v>3</v>
    <v>Finance</v>
    <v>4</v>
    <v>236.54</v>
    <v>135.4</v>
    <v>2.1993999999999998</v>
    <v>-1.5</v>
    <v>-6.6860000000000001E-3</v>
    <v>USD</v>
    <v>NVIDIA Corporation is an artificial intelligence (AI) infrastructure company. The Company is engaged in accelerated computing to help solve the challenging computational problems. Its segments include Compute &amp; Networking and Graphics. The Compute &amp; Networking segment includes its Data Center accelerated computing and networking platforms and AI solutions and software, and automotive platforms and autonomous and electric vehicle solutions, including software. The Graphics segment includes GeForce GPUs for gaming and personal computers (PCs), and Quadro/NVIDIA RTX GPUs for enterprise workstation graphics. Its technology stack includes the foundational NVIDIA CUDA development platform that runs on all NVIDIA GPUs, as well as hundreds of domain-specific software libraries, frameworks, algorithms, software development kits (SDKs), and application programming interfaces (APIs). Its platforms address four markets, which include Data Center, Gaming, Professional Visualization, and Automotive.</v>
    <v>42000</v>
    <v>Nasdaq Stock Market</v>
    <v>XNAS</v>
    <v>XNAS</v>
    <v>2788 San Tomas Expressway, SANTA CLARA, CA, 95051 US</v>
    <v>232.28</v>
    <v>Semiconductors &amp; Semiconductor Equipment</v>
    <v>Stock</v>
    <v>46175.802957928128</v>
    <v>0</v>
    <v>221.9</v>
    <v>5393212000000</v>
    <v>NVIDIA CORPORATION</v>
    <v>NVIDIA CORPORATION</v>
    <v>227.36</v>
    <v>34.128599999999999</v>
    <v>224.36</v>
    <v>222.86</v>
    <v>24200000000</v>
    <v>NVDA</v>
    <v>NVIDIA CORPORATION (XNAS:NVDA)</v>
    <v>149272994</v>
    <v>170163602</v>
    <v>1998</v>
  </rv>
  <rv s="2">
    <v>1</v>
  </rv>
  <rv s="0">
    <v>https://www.bing.com/financeapi/forcetrigger?t=a1mou2&amp;q=XNAS%3aAAPL&amp;form=skydnc</v>
    <v>Learn more on Bing</v>
  </rv>
  <rv s="1">
    <v>en-GB</v>
    <v>a1mou2</v>
    <v>268435456</v>
    <v>1</v>
    <v>Powered by Refinitiv</v>
    <v>0</v>
    <v>APPLE INC. (XNAS:AAPL)</v>
    <v>2</v>
    <v>3</v>
    <v>Finance</v>
    <v>4</v>
    <v>315.45</v>
    <v>195.07</v>
    <v>1.0873999999999999</v>
    <v>8.44</v>
    <v>2.7553999999999999E-2</v>
    <v>USD</v>
    <v>Apple Inc. designs, manufactures and markets smartphones, personal computers, tablets, wearables and accessories, and sells a variety of related services. Its product categories include iPhone, Mac, iPad, Wearables, Home and Accessories. Its services include advertising, AppleCare, cloud services, digital content, and payment services. The Company operates various platforms, including the App Store, that allow customers to discover and download applications and digital content, such as books, music, video, games and podcasts. It also offers digital content through subscription-based services, including Apple Arcade, Apple Fitness+, Apple Music, Apple News+, and Apple TV+. Its wearables include smartwatches, wireless headphones, and spatial computers. Its products include iPhone 16 Pro, iPhone 16, iPhone 15, iPhone 14, iPhone SE, MacBook Air, MacBook Pro, iMac, Mac mini, Mac Studio, Mac Pro, iPad Pro, iPad Air, AirPods, AirPods Pro, AirPods Max, Apple TV, Apple Vision Pro and others.</v>
    <v>166000</v>
    <v>Nasdaq Stock Market</v>
    <v>XNAS</v>
    <v>XNAS</v>
    <v>One Apple Park Way, CUPERTINO, CA, 95014 US</v>
    <v>315.45</v>
    <v>Computers, Phones &amp; Household Electronics</v>
    <v>Stock</v>
    <v>46175.802955937499</v>
    <v>3</v>
    <v>306.72000000000003</v>
    <v>4622846560000</v>
    <v>APPLE INC.</v>
    <v>APPLE INC.</v>
    <v>307.3</v>
    <v>38.226599999999998</v>
    <v>306.31</v>
    <v>314.75</v>
    <v>14687360000</v>
    <v>AAPL</v>
    <v>APPLE INC. (XNAS:AAPL)</v>
    <v>27641350</v>
    <v>49340725</v>
    <v>1977</v>
  </rv>
  <rv s="2">
    <v>4</v>
  </rv>
  <rv s="0">
    <v>http://en.wikipedia.org/wiki/Public_domain</v>
    <v>Public domain</v>
  </rv>
  <rv s="0">
    <v>https://en.wikipedia.org/wiki/Microsoft</v>
    <v>Wikipedia</v>
  </rv>
  <rv s="3">
    <v>6</v>
    <v>7</v>
  </rv>
  <rv s="4">
    <v>9</v>
    <v>https://www.bing.com/th?id=AMMS_e6e837c7bf3a77408619758b7447855a&amp;qlt=95</v>
    <v>8</v>
    <v>0</v>
    <v>https://www.bing.com/images/search?form=xlimg&amp;q=microsoft</v>
    <v>Image of MICROSOFT CORPORATION</v>
  </rv>
  <rv s="0">
    <v>https://www.bing.com/financeapi/forcetrigger?t=a1xzim&amp;q=XNAS%3aMSFT&amp;form=skydnc</v>
    <v>Learn more on Bing</v>
  </rv>
  <rv s="5">
    <v>en-GB</v>
    <v>a1xzim</v>
    <v>268435456</v>
    <v>1</v>
    <v>Powered by Refinitiv</v>
    <v>5</v>
    <v>MICROSOFT CORPORATION (XNAS:MSFT)</v>
    <v>7</v>
    <v>8</v>
    <v>Finance</v>
    <v>4</v>
    <v>555.45000000000005</v>
    <v>356.28</v>
    <v>1.1014999999999999</v>
    <v>-18.63</v>
    <v>-4.0453999999999997E-2</v>
    <v>USD</v>
    <v>Microsoft Corporation is a technology company. The Company develops and supports software, services, devices, and solutions. The Company’s segments include Productivity and Business Processes, Intelligent Cloud, and More Personal Computing. The Productivity and Business Processes segment consists of products and services in its portfolio of productivity, communication, and information services. This segment primarily comprises: Office Commercial, Office Consumer, LinkedIn, and Dynamics business solutions. The Intelligent Cloud segment consists of server products and cloud services, including Azure and other cloud services, SQL Server, Windows Server, Visual Studio, System Center, and related Client Access Licenses (CALs), and Nuance and GitHub; and Enterprise Services, including enterprise support services, industry solutions and Nuance professional services. The More Personal Computing segment primarily comprises Windows, Devices, Gaming, and search and news advertising.</v>
    <v>228000</v>
    <v>Nasdaq Stock Market</v>
    <v>XNAS</v>
    <v>XNAS</v>
    <v>One Microsoft Way, REDMOND, WA, 98052 US</v>
    <v>453.5</v>
    <v>9</v>
    <v>Software &amp; IT Services</v>
    <v>Stock</v>
    <v>46175.802950450779</v>
    <v>10</v>
    <v>440.43</v>
    <v>3282551142150</v>
    <v>MICROSOFT CORPORATION</v>
    <v>MICROSOFT CORPORATION</v>
    <v>447</v>
    <v>26.319299999999998</v>
    <v>460.52</v>
    <v>441.89</v>
    <v>7428435000</v>
    <v>MSFT</v>
    <v>MICROSOFT CORPORATION (XNAS:MSFT)</v>
    <v>26811499</v>
    <v>36923478</v>
    <v>1993</v>
  </rv>
  <rv s="2">
    <v>11</v>
  </rv>
  <rv s="0">
    <v>https://www.bing.com/financeapi/forcetrigger?t=a1u3rw&amp;q=XNAS%3aGOOGL&amp;form=skydnc</v>
    <v>Learn more on Bing</v>
  </rv>
  <rv s="1">
    <v>en-GB</v>
    <v>a1u3rw</v>
    <v>268435456</v>
    <v>1</v>
    <v>Powered by Refinitiv</v>
    <v>0</v>
    <v>ALPHABET INC. (XNAS:GOOGL)</v>
    <v>2</v>
    <v>3</v>
    <v>Finance</v>
    <v>4</v>
    <v>408.61</v>
    <v>162</v>
    <v>1.2385999999999999</v>
    <v>-12.43</v>
    <v>-3.3026E-2</v>
    <v>USD</v>
    <v>Alphabet Inc. is a holding company. The Company's segments include Google Services, Google Cloud, and Other Bets. The Google Services segment includes products and services such as ads, Android, Chrome, devices, Google Maps, Google Play, Search, and YouTube. The Google Cloud segment includes infrastructure and platform services, collaboration tools, and other services for enterprise customers. Its Other Bets segment is engaged in the sale of healthcare-related services and Internet services. Its Google Cloud provides enterprise-ready cloud services, including Google Cloud Platform and Google Workspace. Google Cloud Platform provides access to solutions such as artificial intelligence (AI) offerings, including its AI infrastructure, Vertex AI platform, and Gemini for Google Cloud; cybersecurity, and data and analytics. Google Workspace includes cloud-based communication and collaboration tools for enterprises, such as Calendar, Gmail, Docs, Drive, and Meet.</v>
    <v>194668</v>
    <v>Nasdaq Stock Market</v>
    <v>XNAS</v>
    <v>XNAS</v>
    <v>1600 Amphitheatre Parkway, MOUNTAIN VIEW, CA, 94043 US</v>
    <v>373.54</v>
    <v>Software &amp; IT Services</v>
    <v>Stock</v>
    <v>46175.802967256248</v>
    <v>13</v>
    <v>358.44</v>
    <v>4409497040000</v>
    <v>ALPHABET INC.</v>
    <v>ALPHABET INC.</v>
    <v>366.34</v>
    <v>27.7393</v>
    <v>376.37</v>
    <v>363.94</v>
    <v>12116000000</v>
    <v>GOOGL</v>
    <v>ALPHABET INC. (XNAS:GOOGL)</v>
    <v>33396340</v>
    <v>29574721</v>
    <v>2015</v>
  </rv>
  <rv s="2">
    <v>14</v>
  </rv>
  <rv s="0">
    <v>https://www.bing.com/financeapi/forcetrigger?t=a1wljc&amp;q=XNYS%3aKO&amp;form=skydnc</v>
    <v>Learn more on Bing</v>
  </rv>
  <rv s="1">
    <v>en-GB</v>
    <v>a1wljc</v>
    <v>268435456</v>
    <v>1</v>
    <v>Powered by Refinitiv</v>
    <v>0</v>
    <v>THE COCA-COLA COMPANY (XNYS:KO)</v>
    <v>2</v>
    <v>3</v>
    <v>Finance</v>
    <v>4</v>
    <v>82.663499999999999</v>
    <v>65.353800000000007</v>
    <v>0.3548</v>
    <v>-0.19</v>
    <v>-2.4160000000000002E-3</v>
    <v>USD</v>
    <v>The Coca-Cola Company is a beverage company. The Company's segments include Europe, Middle East and Africa (EMEA); Latin America; North America; Asia Pacific, and Bottling Investments. It sells multiple brands across several beverage categories worldwide. Its portfolio of sparkling soft drink brands includes Coca-Cola, Sprite and Fanta. Its water, sports, coffee and tea brands include Dasani, smartwater, vitaminwater, Topo Chico, BODYARMOR, Powerade, Costa, Georgia, Fuze Tea, Gold Peak and Ayataka. Its juice, value-added dairy and plant-based beverage brands include Minute Maid, Simply, innocent, Del Valle, fairlife and Santa Clara. It operates in two lines of business: concentrate operations and finished product operations. Its concentrate operations sell beverage concentrates, syrups, including fountain syrups, and certain finished beverages to authorized bottling operations. Its finished product operations sell sparkling soft drinks and a variety of other finished beverages.</v>
    <v>65900</v>
    <v>New York Stock Exchange</v>
    <v>XNYS</v>
    <v>XNYS</v>
    <v>1 Coca Cola Plz NW, ATLANTA, GA, 30313-2420 US</v>
    <v>79.2</v>
    <v>Beverages</v>
    <v>Stock</v>
    <v>46175.802962499998</v>
    <v>16</v>
    <v>78.245000000000005</v>
    <v>337529712900</v>
    <v>THE COCA-COLA COMPANY</v>
    <v>THE COCA-COLA COMPANY</v>
    <v>78.88</v>
    <v>24.696999999999999</v>
    <v>78.64</v>
    <v>78.45</v>
    <v>4302482000</v>
    <v>KO</v>
    <v>THE COCA-COLA COMPANY (XNYS:KO)</v>
    <v>6228689</v>
    <v>15495570</v>
    <v>1919</v>
  </rv>
  <rv s="2">
    <v>17</v>
  </rv>
  <rv s="0">
    <v>https://www.bing.com/financeapi/forcetrigger?t=axyhnm&amp;q=XNAS%3aPEP&amp;form=skydnc</v>
    <v>Learn more on Bing</v>
  </rv>
  <rv s="1">
    <v>en-GB</v>
    <v>axyhnm</v>
    <v>268435456</v>
    <v>1</v>
    <v>Powered by Refinitiv</v>
    <v>0</v>
    <v>Pepsico, Inc. (XNAS:PEP)</v>
    <v>2</v>
    <v>3</v>
    <v>Finance</v>
    <v>4</v>
    <v>171.48</v>
    <v>127.6</v>
    <v>0.36049999999999999</v>
    <v>0.73</v>
    <v>5.1580000000000003E-3</v>
    <v>USD</v>
    <v>PepsiCo, Inc. is a global beverage and convenient food company. The Company’s segments include PepsiCo Foods North America (PFNA), PepsiCo Beverages North America (PBNA), International Beverages Franchise (IB Franchise), Europe, Middle East and Africa (EMEA), Latin America Foods (LatAm Foods), and Asia Pacific Foods. PFNA segment includes all of its convenient food businesses in the United States and Canada. PBNA segment includes all of its beverage businesses in the United States and Canada. IB Franchise segment includes its international franchise beverage businesses, as well as its SodaStream business. EMEA segment includes its convenient food businesses and beverage businesses with Company-owned bottlers in Europe, the Middle East and Africa. LatAm Foods segment includes all of its convenient food businesses in Latin America. Asia Pacific Foods segment consists of its convenient food businesses in Asia Pacific, including China, Australia and New Zealand, as well as India.</v>
    <v>306000</v>
    <v>Nasdaq Stock Market</v>
    <v>XNAS</v>
    <v>XNAS</v>
    <v>700 ANDERSON HILL RD, PURCHASE, NY, 10577 US</v>
    <v>142.88999999999999</v>
    <v>Beverages</v>
    <v>Stock</v>
    <v>46175.802905300778</v>
    <v>19</v>
    <v>140.81</v>
    <v>194422748000</v>
    <v>Pepsico, Inc.</v>
    <v>Pepsico, Inc.</v>
    <v>141.54</v>
    <v>22.345600000000001</v>
    <v>141.52000000000001</v>
    <v>142.25</v>
    <v>1366768000</v>
    <v>PEP</v>
    <v>Pepsico, Inc. (XNAS:PEP)</v>
    <v>4221737</v>
    <v>6704780</v>
    <v>1986</v>
  </rv>
  <rv s="2">
    <v>20</v>
  </rv>
  <rv s="0">
    <v>https://www.bing.com/financeapi/forcetrigger?t=a1slm7&amp;q=XNAS%3aMETA&amp;form=skydnc</v>
    <v>Learn more on Bing</v>
  </rv>
  <rv s="1">
    <v>en-GB</v>
    <v>a1slm7</v>
    <v>268435456</v>
    <v>1</v>
    <v>Powered by Refinitiv</v>
    <v>0</v>
    <v>META PLATFORMS, INC. (XNAS:META)</v>
    <v>2</v>
    <v>3</v>
    <v>Finance</v>
    <v>4</v>
    <v>796.25</v>
    <v>520.26</v>
    <v>1.2323</v>
    <v>0.155</v>
    <v>2.5809999999999999E-4</v>
    <v>USD</v>
    <v>Meta Platforms, Inc. is building human connections, powered by artificial intelligence and immersive technologies. The Company's products enable people to connect and share with friends and family through mobile devices, personal computers, virtual reality (VR) and mixed reality (MR) headsets, augmented reality (AR), and wearables. It also helps people discover and learn about what is going on in the world around them, enabling people to share their experiences, ideas, photos, videos, and other content with audiences ranging from their closest family members and friends to the public at large. The Company's segments include Family of Apps (FoA) and Reality Labs (RL). FoA segment includes Facebook, Instagram, Messenger, WhatsApp and Threads. RL segment includes its virtual, augmented, and mixed reality related consumer hardware, software and content. Its product offerings in VR include its Meta Quest devices, as well as software and content available through the Meta Horizon Store.</v>
    <v>77986</v>
    <v>Nasdaq Stock Market</v>
    <v>XNAS</v>
    <v>XNAS</v>
    <v>1 Meta Way, MENLO PARK, CA, 94025 US</v>
    <v>608.88</v>
    <v>Software &amp; IT Services</v>
    <v>Stock</v>
    <v>46175.802938796092</v>
    <v>22</v>
    <v>596.67999999999995</v>
    <v>1524640314375</v>
    <v>META PLATFORMS, INC.</v>
    <v>META PLATFORMS, INC.</v>
    <v>603.16</v>
    <v>18.2179</v>
    <v>600.47</v>
    <v>600.625</v>
    <v>2538423000</v>
    <v>META</v>
    <v>META PLATFORMS, INC. (XNAS:META)</v>
    <v>11686271</v>
    <v>16985842</v>
    <v>2004</v>
  </rv>
  <rv s="2">
    <v>23</v>
  </rv>
  <rv s="0">
    <v>https://www.bing.com/financeapi/forcetrigger?t=a1nhlh&amp;q=XNAS%3aAMZN&amp;form=skydnc</v>
    <v>Learn more on Bing</v>
  </rv>
  <rv s="1">
    <v>en-GB</v>
    <v>a1nhlh</v>
    <v>268435456</v>
    <v>1</v>
    <v>Powered by Refinitiv</v>
    <v>0</v>
    <v>AMAZON.COM, INC. (XNAS:AMZN)</v>
    <v>2</v>
    <v>3</v>
    <v>Finance</v>
    <v>4</v>
    <v>278.56</v>
    <v>196</v>
    <v>1.4463999999999999</v>
    <v>-3.21</v>
    <v>-1.2286999999999999E-2</v>
    <v>USD</v>
    <v>Amazon.com, Inc. provides a range of products and services to customers. The products offered through its stores include merchandise and content it has purchased for resale and products offered by third-party sellers. The Company’s segments include North America, International and Amazon Web Services (AWS). It serves consumers through its online and physical stores and focuses on selection, price, and convenience. Customers access its offerings through its websites, mobile apps, Alexa, devices, streaming, and physically visiting its stores. It also manufactures and sells electronic devices, including Kindle, Fire tablet, Fire TV, Echo, Ring, Blink, and eero, and develops and produces media content. It serves developers and enterprises of all sizes, including start-ups, government agencies, and academic institutions, through AWS, which offers a set of on-demand technology services, including compute, storage, database, analytics, and machine learning, and other services.</v>
    <v>1575000</v>
    <v>Nasdaq Stock Market</v>
    <v>XNAS</v>
    <v>XNAS</v>
    <v>410 Terry Avenue North, SEATTLE, WA, 98109 US</v>
    <v>261.20249999999999</v>
    <v>Diversified Retail</v>
    <v>Stock</v>
    <v>46175.802956921092</v>
    <v>25</v>
    <v>254.37</v>
    <v>2775872235500</v>
    <v>AMAZON.COM, INC.</v>
    <v>AMAZON.COM, INC.</v>
    <v>257.26</v>
    <v>30.838799999999999</v>
    <v>261.26</v>
    <v>258.05</v>
    <v>10757110000</v>
    <v>AMZN</v>
    <v>AMAZON.COM, INC. (XNAS:AMZN)</v>
    <v>27970039</v>
    <v>44173916</v>
    <v>1996</v>
  </rv>
  <rv s="2">
    <v>26</v>
  </rv>
  <rv s="0">
    <v>https://www.bing.com/financeapi/forcetrigger?t=a25xjc&amp;q=XNYS%3aWM&amp;form=skydnc</v>
    <v>Learn more on Bing</v>
  </rv>
  <rv s="1">
    <v>en-GB</v>
    <v>a25xjc</v>
    <v>268435456</v>
    <v>1</v>
    <v>Powered by Refinitiv</v>
    <v>0</v>
    <v>WASTE MANAGEMENT, INC. (XNYS:WM)</v>
    <v>2</v>
    <v>3</v>
    <v>Finance</v>
    <v>4</v>
    <v>248.13</v>
    <v>194.11</v>
    <v>0.45729999999999998</v>
    <v>-1.345</v>
    <v>-6.3290000000000004E-3</v>
    <v>USD</v>
    <v>Waste Management, Inc. is a provider of environmental solutions. The Company provides collection, recycling, and disposal services to millions of residential, commercial, industrial, and municipal customers throughout the United States and Canada. Its segments include East Tier, West Tier, Recycling Processing and Sales, WM Renewable Energy, and WM Healthcare Solutions. East Tier primarily consists of geographic areas located in the Eastern U.S., the Great Lakes region and all of Canada. The West Tier primarily includes geographic areas located in the Western U.S., including the upper Midwest region and British Columbia, Canada. Recycling Processing and Sales includes the processing and sales of materials collected from residential, commercial, and industrial customers. WM Renewable Energy develops, operates, and promotes projects for the beneficial use of landfill gas. WM Healthcare Solutions includes Regulated Waste and Compliance Services and Secure Information Destruction services.</v>
    <v>60500</v>
    <v>New York Stock Exchange</v>
    <v>XNYS</v>
    <v>XNYS</v>
    <v>800 Capitol Street, Suite 3000, HOUSTON, TX, 77002 US</v>
    <v>212.95</v>
    <v>Professional &amp; Commercial Services</v>
    <v>Stock</v>
    <v>46175.802945810159</v>
    <v>28</v>
    <v>210.12</v>
    <v>84798732690</v>
    <v>WASTE MANAGEMENT, INC.</v>
    <v>WASTE MANAGEMENT, INC.</v>
    <v>212.155</v>
    <v>30.568200000000001</v>
    <v>212.51</v>
    <v>211.16499999999999</v>
    <v>401575700</v>
    <v>WM</v>
    <v>WASTE MANAGEMENT, INC. (XNYS:WM)</v>
    <v>933197</v>
    <v>2197619</v>
    <v>1995</v>
  </rv>
  <rv s="2">
    <v>29</v>
  </rv>
  <rv s="0">
    <v>https://www.bing.com/financeapi/forcetrigger?t=a1uv7w&amp;q=XNYS%3aHRL&amp;form=skydnc</v>
    <v>Learn more on Bing</v>
  </rv>
  <rv s="1">
    <v>en-GB</v>
    <v>a1uv7w</v>
    <v>268435456</v>
    <v>1</v>
    <v>Powered by Refinitiv</v>
    <v>0</v>
    <v>HORMEL FOODS CORPORATION (XNYS:HRL)</v>
    <v>2</v>
    <v>3</v>
    <v>Finance</v>
    <v>4</v>
    <v>31.86</v>
    <v>19.7</v>
    <v>0.34160000000000001</v>
    <v>3.5000000000000003E-2</v>
    <v>1.4990000000000001E-3</v>
    <v>USD</v>
    <v>Hormel Foods Corporation is a global-branded food company. The Company develops, processes, and distributes a range of food products in a variety of markets. Its segments include Retail, Foodservice, and International. The Retail segment is primarily engaged in the processing, marketing, and sale of food products sold predominantly in the retail market. This segment also includes the Company’s MegaMex Foods, LLC joint venture. The Foodservice segment consists primarily of the processing, marketing, and sale of food products to foodservice, convenience store, and commercial customers located in the United States. The International segment processes, markets, and sells its products internationally. This segment also includes the results from the Company’s international joint ventures, international equity method investments, and international royalty arrangements. It has a global presence within several major international markets, including Australia, Brazil, Canada, China, and England.</v>
    <v>20000</v>
    <v>New York Stock Exchange</v>
    <v>XNYS</v>
    <v>XNYS</v>
    <v>1 Hormel Pl, AUSTIN, MN, 55912-3680 US</v>
    <v>23.53</v>
    <v>Food &amp; Tobacco</v>
    <v>Stock</v>
    <v>46175.802968378906</v>
    <v>31</v>
    <v>23.12</v>
    <v>12869113936</v>
    <v>HORMEL FOODS CORPORATION</v>
    <v>HORMEL FOODS CORPORATION</v>
    <v>23.25</v>
    <v>27.589700000000001</v>
    <v>23.35</v>
    <v>23.385000000000002</v>
    <v>550314900</v>
    <v>HRL</v>
    <v>HORMEL FOODS CORPORATION (XNYS:HRL)</v>
    <v>2200556</v>
    <v>6614364</v>
    <v>1928</v>
  </rv>
  <rv s="2">
    <v>32</v>
  </rv>
  <rv s="0">
    <v>https://www.bing.com/financeapi/forcetrigger?t=a1yjxm&amp;q=XNYS%3aNKE&amp;form=skydnc</v>
    <v>Learn more on Bing</v>
  </rv>
  <rv s="1">
    <v>en-GB</v>
    <v>a1yjxm</v>
    <v>268435456</v>
    <v>1</v>
    <v>Powered by Refinitiv</v>
    <v>0</v>
    <v>NIKE, INC. (XNYS:NKE)</v>
    <v>2</v>
    <v>3</v>
    <v>Finance</v>
    <v>4</v>
    <v>80.165000000000006</v>
    <v>41.35</v>
    <v>1.1147</v>
    <v>-2.4049999999999998</v>
    <v>-5.2361999999999999E-2</v>
    <v>USD</v>
    <v>NIKE, Inc. is engaged in the designing, marketing and distributing of athletic footwear, apparel, equipment and accessories and services for sports and fitness activities. The Company's operating segments include North America; Europe, Middle East &amp; Africa (EMEA); Greater China; and Asia Pacific &amp; Latin America (APLA). It sells a line of equipment and accessories under the NIKE Brand name, including bags, socks, sport balls, eyewear, timepieces, digital devices, bats, gloves, protective equipment and other equipment designed for sports activities. It also designs products specifically for the Jordan Brand and Converse. The Jordan Brand designs, distributes and licenses athletic and casual footwear, apparel and accessories predominantly focused on basketball performance and culture using the Jumpman trademark. The Company also designs, distributes and licenses casual sneakers, apparel and accessories under the Chuck Taylor, All Star, One Star, Star Chevron and Jack Purcell trademarks.</v>
    <v>77800</v>
    <v>New York Stock Exchange</v>
    <v>XNYS</v>
    <v>XNYS</v>
    <v>One Bowerman Dr, BEAVERTON, OR, 97005-6453 US</v>
    <v>45.78</v>
    <v>Textiles &amp; Apparel</v>
    <v>Stock</v>
    <v>46175.802991214841</v>
    <v>34</v>
    <v>43.51</v>
    <v>64455606675</v>
    <v>NIKE, INC.</v>
    <v>NIKE, INC.</v>
    <v>45.65</v>
    <v>28.632999999999999</v>
    <v>45.93</v>
    <v>43.524999999999999</v>
    <v>1480887000</v>
    <v>NKE</v>
    <v>NIKE, INC. (XNYS:NKE)</v>
    <v>20867145</v>
    <v>21033432</v>
    <v>1969</v>
  </rv>
  <rv s="2">
    <v>35</v>
  </rv>
  <rv s="0">
    <v>https://www.bing.com/financeapi/forcetrigger?t=a1ntlh&amp;q=XNAS%3aASML&amp;form=skydnc</v>
    <v>Learn more on Bing</v>
  </rv>
  <rv s="1">
    <v>en-GB</v>
    <v>a1ntlh</v>
    <v>268435456</v>
    <v>1</v>
    <v>Powered by Refinitiv</v>
    <v>0</v>
    <v>ASML Holding NV (XNAS:ASML)</v>
    <v>2</v>
    <v>3</v>
    <v>Finance</v>
    <v>4</v>
    <v>1705.39</v>
    <v>683.48</v>
    <v>1.8242</v>
    <v>66.86</v>
    <v>4.1054000000000007E-2</v>
    <v>USD</v>
    <v>ASML Holding N.V. is a holding company based in the Netherlands. The Company operates through its subsidiaries in the Netherlands, the United States, Italy, France, Germany, the United Kingdom, Ireland, Belgium, South Korea, Taiwan, Singapore, China, Hong Kong, Japan, Malaysia and Israel. The Company operates through one business segment which is engage in development, production, marketing, sales, upgrading and servicing of advanced semiconductor equipment systems, consisting of lithography, metrology and inspection systems. The Company offers TWINSCAN systems, equipped with lithography system with a mercury lamp as light source (i-line), Krypton Fluoride (KrF) and Argon Fluoride (ArF) light sources for processing wafers for manufacturing environments for which imaging at a small resolution is required. TWINSCAN systems also include immersion lithography systems (TWINSCAN immersion systems).</v>
    <v>43882</v>
    <v>Nasdaq Stock Market</v>
    <v>XNAS</v>
    <v>XNAS</v>
    <v>De Run 6501, VELDHOVEN, NOORD-BRABANT, 5504 DR NL</v>
    <v>1705.39</v>
    <v>Semiconductors &amp; Semiconductor Equipment</v>
    <v>Stock</v>
    <v>46175.802943981253</v>
    <v>37</v>
    <v>1647.59</v>
    <v>658077255011</v>
    <v>ASML Holding NV</v>
    <v>ASML Holding NV</v>
    <v>1658.71</v>
    <v>58.288600000000002</v>
    <v>1628.57</v>
    <v>1695.43</v>
    <v>388147700</v>
    <v>ASML</v>
    <v>ASML Holding NV (XNAS:ASML)</v>
    <v>1074068</v>
    <v>1569436</v>
    <v>1994</v>
  </rv>
  <rv s="2">
    <v>38</v>
  </rv>
  <rv s="0">
    <v>https://www.bing.com/financeapi/forcetrigger?t=ab1c52&amp;q=XTSE%3aT&amp;form=skydnc</v>
    <v>Learn more on Bing</v>
  </rv>
  <rv s="1">
    <v>en-GB</v>
    <v>ab1c52</v>
    <v>268435456</v>
    <v>1</v>
    <v>Powered by Refinitiv</v>
    <v>0</v>
    <v>TELUS CORPORATION (XTSE:T)</v>
    <v>2</v>
    <v>10</v>
    <v>Finance</v>
    <v>11</v>
    <v>23.18</v>
    <v>16.18</v>
    <v>0.72619999999999996</v>
    <v>1.4999999999999999E-2</v>
    <v>8.6410000000000002E-4</v>
    <v>CAD</v>
    <v>TELUS Corporation is a communications technology company serving customers through its suite of broadband services for consumers, businesses and the public sector. Its segments include TELUS technology solutions, TELUS digital experience and TELUS health. The TELUS technology solutions segment includes mobile technologies; data (which include Internet protocol; television; hosting, cloud-based services; and home and business security and automation); agriculture and consumer goods services (software, data management and data analytics-driven smart-food chain and consumer goods technologies); voice and other telecommunications services, and equipment sales. The TELUS health segment includes healthcare services, software and technology solutions. The TELUS digital experience segment includes key service lines: digital solutions; artificial intelligence and data solutions; trust, safety and security, and customer experience management.</v>
    <v>111500</v>
    <v>Toronto Stock Exchange</v>
    <v>XTSE</v>
    <v>XTSE</v>
    <v>5TH FLOOR, 510 WEST GEORGIA STREET, BC, V6B 0M3 CA</v>
    <v>17.46</v>
    <v>Telecommunications Services</v>
    <v>Stock</v>
    <v>46175.792430555557</v>
    <v>40</v>
    <v>17.21</v>
    <v>27345574250</v>
    <v>TELUS CORPORATION</v>
    <v>TELUS CORPORATION</v>
    <v>17.38</v>
    <v>23.962900000000001</v>
    <v>17.36</v>
    <v>17.375</v>
    <v>1573846000</v>
    <v>T</v>
    <v>TELUS CORPORATION (XTSE:T)</v>
    <v>4249486</v>
    <v>5954130</v>
    <v>2026</v>
  </rv>
  <rv s="2">
    <v>41</v>
  </rv>
  <rv s="0">
    <v>https://www.bing.com/financeapi/forcetrigger?t=bpiyqh&amp;q=XNYS%3aDUK+PR+A&amp;form=skydnc</v>
    <v>Learn more on Bing</v>
  </rv>
  <rv s="6">
    <v>en-GB</v>
    <v>bpiyqh</v>
    <v>268435456</v>
    <v>1</v>
    <v>Powered by Refinitiv</v>
    <v>12</v>
    <v>DUKE ENERGY CORPORATION (XNYS:DUK PR A)</v>
    <v>2</v>
    <v>13</v>
    <v>Finance</v>
    <v>4</v>
    <v>25.405000000000001</v>
    <v>24.25</v>
    <v>0.38069999999999998</v>
    <v>-3.1600000000000003E-2</v>
    <v>-1.2740000000000002E-3</v>
    <v>USD</v>
    <v>Duke Energy Corporation is an energy-holding company. The Company's segments include Electric Utilities and Infrastructure (EU&amp;I) and Gas Utilities and Infrastructure (GU&amp;I). EU&amp;I segment conducts operations primarily through the regulated public utilities of Duke Energy Carolinas, Duke Energy Progress, Duke Energy Florida, Duke Energy Indiana and Duke Energy Ohio. EU&amp;I provides retail electric service through the generation, transmission, distribution and sale of electricity to approximately 8.7 million customers within the Southeast and Midwest regions of the U.S. GU&amp;I segment conducts natural gas operations primarily through the regulated public utilities of Piedmont, Duke Energy Ohio and Duke Energy Kentucky. GU&amp;I serves residential, commercial, industrial and power generation natural gas customers, including customers served by municipalities who are wholesale customers. It also purchases a diverse portfolio of transportation and storage services from interstate pipelines.</v>
    <v>26441</v>
    <v>New York Stock Exchange</v>
    <v>XNYS</v>
    <v>XNYS</v>
    <v>525 South Tryon Street, CHARLOTTE, NC, 28202-1803 US</v>
    <v>24.89</v>
    <v>Electrical Utilities &amp; IPPs</v>
    <v>Stock</v>
    <v>46175.802630289065</v>
    <v>43</v>
    <v>24.75</v>
    <v>91289650000</v>
    <v>DUKE ENERGY CORPORATION</v>
    <v>DUKE ENERGY CORPORATION</v>
    <v>24.85</v>
    <v>24.81</v>
    <v>24.778400000000001</v>
    <v>779596200</v>
    <v>DUK PR A</v>
    <v>DUKE ENERGY CORPORATION (XNYS:DUK PR A)</v>
    <v>48756</v>
    <v>63095</v>
    <v>2005</v>
  </rv>
  <rv s="2">
    <v>44</v>
  </rv>
  <rv s="7">
    <v>en-GB</v>
    <v>car3kr</v>
    <v>268435456</v>
    <v>1</v>
    <v>Powered by Refinitiv</v>
    <v>14</v>
    <v>Enbridge Inc. (XTSE:ENB.PR.I)</v>
    <v>15</v>
    <v>10</v>
    <v>Finance</v>
    <v>11</v>
    <v>21.55</v>
    <v>19.62</v>
    <v>0.79690000000000005</v>
    <v>0.43</v>
    <v>2.0436999999999997E-2</v>
    <v>CAD</v>
    <v>Enbridge Inc. is an energy transportation and distribution company. The Company's segments include Liquids Pipelines, Gas Transmission, Gas Distribution and Storage, and Renewable Power Generation. Liquids Pipelines consists of pipelines and terminals in Canada and United States that transport and export various grades of crude oil and other liquid hydrocarbons, including the Mainline System, Regional Oil Sands System, Gulf Coast and Mid-Continent, and Other. Gas Transmission consists of its investments in natural gas pipelines and gathering and processing facilities in Canada and United States, including United States Gas Transmission, Canadian Gas Transmission, United States Midstream, and Other. Gas Distribution and Storage consists of its rate-regulated natural gas utility operations in Canada and United States. Renewable Power Generation consists primarily of investments in wind and solar assets, as well as equity interests in geothermal power and power transmission assets.</v>
    <v>14500</v>
    <v>Toronto Stock Exchange</v>
    <v>XTSE</v>
    <v>XTSE</v>
    <v>425-1st Street South West Suite 200, AB, T2P 3L8 CA</v>
    <v>21.47</v>
    <v>Oil &amp; Gas Related Equipment and Services</v>
    <v>Stock</v>
    <v>46171.751620370371</v>
    <v>21.4</v>
    <v>140473500000</v>
    <v>Enbridge Inc.</v>
    <v>Enbridge Inc.</v>
    <v>21.4</v>
    <v>0</v>
    <v>21.04</v>
    <v>21.47</v>
    <v>2183641000</v>
    <v>ENB.PR.I</v>
    <v>Enbridge Inc. (XTSE:ENB.PR.I)</v>
    <v>1000</v>
    <v>12158020</v>
    <v>1987</v>
  </rv>
  <rv s="2">
    <v>46</v>
  </rv>
  <rv s="8">
    <v>en-GB</v>
    <v>chco1h</v>
    <v>268435456</v>
    <v>1</v>
    <v>Powered by Refinitiv</v>
    <v>16</v>
    <v>Invesco QQQ Mega Fund</v>
    <v>17</v>
    <v>18</v>
    <v>Finance</v>
    <v>19</v>
    <v>11</v>
    <v>7.8319999999999996E-4</v>
    <v>JP</v>
    <v>JPY</v>
    <v>Mutual Fund</v>
    <v>46174</v>
    <v>46175.099412378906</v>
    <v>Invesco QQQ Mega Fund</v>
    <v>598000000</v>
    <v>14045</v>
    <v>14056</v>
    <v>0</v>
    <v>8.4985999999999992E-2</v>
    <v>1.9806999999999998E-2</v>
    <v>0.20621300000000001</v>
    <v>0</v>
    <v>0</v>
    <v>0.121698</v>
    <v>Invesco QQQ Mega Fund</v>
  </rv>
  <rv s="2">
    <v>48</v>
  </rv>
  <rv s="0">
    <v>https://www.bing.com/financeapi/forcetrigger?t=a7zb4c&amp;q=Vanguard+500+Index+Fund%3bInstitutional+Select&amp;form=skydnc</v>
    <v>Learn more on Bing</v>
  </rv>
  <rv s="9">
    <v>en-GB</v>
    <v>a7zb4c</v>
    <v>268435456</v>
    <v>1</v>
    <v>Powered by Refinitiv</v>
    <v>20</v>
    <v>Vanguard 500 Index Fund;Institutional Select</v>
    <v>21</v>
    <v>22</v>
    <v>Finance</v>
    <v>19</v>
    <v>1</v>
    <v>2.6919999999999999E-3</v>
    <v>US</v>
    <v>USD</v>
    <v>1E-4</v>
    <v>Mutual Fund</v>
    <v>46174.947916666664</v>
    <v>46175.609697285159</v>
    <v>50</v>
    <v>Vanguard 500 Index Fund;Institutional Select</v>
    <v>2788496857</v>
    <v>371.53</v>
    <v>372.53</v>
    <v>1.7988999999999999</v>
    <v>6.3459000000000002E-2</v>
    <v>1.4416E-2</v>
    <v>0.29767700000000002</v>
    <v>0.10514799999999999</v>
    <v>0.23331399999999999</v>
    <v>0.14117000000000002</v>
    <v>0.112636</v>
    <v>VFFSX</v>
    <v>Vanguard 500 Index Fund;Institutional Select</v>
  </rv>
  <rv s="2">
    <v>51</v>
  </rv>
  <rv s="0">
    <v>https://www.bing.com/financeapi/forcetrigger?t=a23hqh&amp;q=ARCX%3aSPY&amp;form=skydnc</v>
    <v>Learn more on Bing</v>
  </rv>
  <rv s="10">
    <v>en-GB</v>
    <v>a23hqh</v>
    <v>268435456</v>
    <v>1</v>
    <v>Powered by Refinitiv</v>
    <v>23</v>
    <v>State Street SPDR S&amp;P500 (ARCX:SPY)</v>
    <v>24</v>
    <v>25</v>
    <v>Finance</v>
    <v>26</v>
    <v>760.38499999999999</v>
    <v>585.05999999999995</v>
    <v>0.99709999999999999</v>
    <v>0.82499999999999996</v>
    <v>1.088E-3</v>
    <v>USD</v>
    <v>NYSE Arca</v>
    <v>ARCX</v>
    <v>9.4499999999999998E-4</v>
    <v>760.38499999999999</v>
    <v>ETF</v>
    <v>46175.8029675</v>
    <v>53</v>
    <v>756.75</v>
    <v>783796407176.76001</v>
    <v>State Street SPDR S&amp;P500</v>
    <v>757.17</v>
    <v>758.54</v>
    <v>759.36500000000001</v>
    <v>SPY</v>
    <v>State Street SPDR S&amp;P500 (ARCX:SPY)</v>
    <v>20792464</v>
    <v>45639396</v>
  </rv>
  <rv s="2">
    <v>54</v>
  </rv>
  <rv s="0">
    <v>https://www.bing.com/financeapi/forcetrigger?t=a1twnm&amp;q=ARCX%3aGLD&amp;form=skydnc</v>
    <v>Learn more on Bing</v>
  </rv>
  <rv s="10">
    <v>en-GB</v>
    <v>a1twnm</v>
    <v>268435456</v>
    <v>1</v>
    <v>Powered by Refinitiv</v>
    <v>23</v>
    <v>SPDR Gold (ARCX:GLD)</v>
    <v>24</v>
    <v>25</v>
    <v>Finance</v>
    <v>26</v>
    <v>509.7</v>
    <v>299.89</v>
    <v>0.82979999999999998</v>
    <v>0.56010000000000004</v>
    <v>1.3619999999999999E-3</v>
    <v>USD</v>
    <v>NYSE Arca</v>
    <v>ARCX</v>
    <v>4.0000000000000001E-3</v>
    <v>414.3999</v>
    <v>ETF</v>
    <v>46175.802984976559</v>
    <v>56</v>
    <v>411.11</v>
    <v>150367514927.20999</v>
    <v>SPDR Gold</v>
    <v>414.04</v>
    <v>411.26</v>
    <v>411.82010000000002</v>
    <v>GLD</v>
    <v>SPDR Gold (ARCX:GLD)</v>
    <v>3380509</v>
    <v>5896864</v>
  </rv>
  <rv s="2">
    <v>57</v>
  </rv>
  <rv s="11">
    <v>en-GB</v>
    <v>cc5pdm</v>
    <v>268435456</v>
    <v>1</v>
    <v>Powered by Refinitiv</v>
    <v>27</v>
    <v>iShares Bitcoin Trust (XNAS:IBIT)</v>
    <v>28</v>
    <v>29</v>
    <v>Finance</v>
    <v>26</v>
    <v>71.819999999999993</v>
    <v>35.299999999999997</v>
    <v>-2.4350000000000001</v>
    <v>-6.0137999999999997E-2</v>
    <v>USD</v>
    <v>Nasdaq Stock Market</v>
    <v>XNAS</v>
    <v>2.5000000000000001E-3</v>
    <v>39.090000000000003</v>
    <v>ETF</v>
    <v>46175.802964849216</v>
    <v>37.93</v>
    <v>58118957374.68</v>
    <v>iShares Bitcoin Trust</v>
    <v>39.020000000000003</v>
    <v>40.49</v>
    <v>38.055</v>
    <v>IBIT</v>
    <v>iShares Bitcoin Trust (XNAS:IBIT)</v>
    <v>54917926</v>
    <v>37966336</v>
  </rv>
  <rv s="2">
    <v>59</v>
  </rv>
  <rv s="0">
    <v>https://www.bing.com/financeapi/forcetrigger?t=c4g8ur&amp;q=XWAR%3aSLV&amp;form=skydnc</v>
    <v>Learn more on Bing</v>
  </rv>
  <rv s="6">
    <v>en-GB</v>
    <v>c4g8ur</v>
    <v>268435456</v>
    <v>1</v>
    <v>Powered by Refinitiv</v>
    <v>12</v>
    <v>Selvita SA (XWAR:SLV)</v>
    <v>2</v>
    <v>30</v>
    <v>Finance</v>
    <v>31</v>
    <v>49.4</v>
    <v>26.5</v>
    <v>3.2500000000000001E-2</v>
    <v>-0.4</v>
    <v>-1.2924E-2</v>
    <v>PLN</v>
    <v>Selvita SA, formerly Selvita Cro SA, is a Poland-based integrated service company active in the pharmaceutical and biotechnology industries. The Company is engaged in providing multidisciplinary solutions supporting customers and projects within area of drug discovery, regulatory studies, as well as research and development. It offers its clients drug discovery support at every stage of the early discovery phase up to preclinical research, from target validation up to the selection of a clinical candidate. Also, it offers services at every stage of the drug discovery process in the field of drug testing and bioanalytical analyses, from development and validation of methods, stability studies, to routine quality control testing. The Company cooperates with numerous research institutes and universities from Europe and the United States.</v>
    <v>428</v>
    <v>Warsaw Stock Exchange</v>
    <v>XWAR</v>
    <v>XWAR</v>
    <v>KRAKOW PODOLE 79, WOJ. MALOPOLSKIE, 30-394 PL</v>
    <v>31.25</v>
    <v>Biotechnology &amp; Medical Research</v>
    <v>Stock</v>
    <v>46175.625</v>
    <v>61</v>
    <v>30.1</v>
    <v>860871700</v>
    <v>Selvita SA</v>
    <v>Selvita SA</v>
    <v>30.85</v>
    <v>30.95</v>
    <v>30.55</v>
    <v>18355470</v>
    <v>SLV</v>
    <v>Selvita SA (XWAR:SLV)</v>
    <v>23671</v>
    <v>40480</v>
    <v>2019</v>
  </rv>
  <rv s="2">
    <v>62</v>
  </rv>
  <rv s="12">
    <fb>36454</fb>
    <v>32</v>
  </rv>
  <rv s="12">
    <fb>4.3880000000000002E-2</fb>
    <v>33</v>
  </rv>
  <rv s="12">
    <fb>46.531300000000002</fb>
    <v>33</v>
  </rv>
  <rv s="13">
    <v>34</v>
    <v>NVDA</v>
    <v>Daily</v>
    <v>36454</v>
    <v>36454</v>
    <v>0</v>
    <v>1</v>
    <v>630760608000000000,639159348690789961,0</v>
    <v>0</v>
    <v>a1yv52</v>
    <v>XNAS:NVDA</v>
    <v>1</v>
  </rv>
  <rv s="13">
    <v>34</v>
    <v>MSFT</v>
    <v>Daily</v>
    <v>36454</v>
    <v>36454</v>
    <v>0</v>
    <v>1</v>
    <v>630760608000000000,639159349170252538,0</v>
    <v>0</v>
    <v>a1xzim</v>
    <v>XNAS:MSFT</v>
    <v>2</v>
  </rv>
</rvData>
</file>

<file path=xl/richData/rdrichvaluestructure.xml><?xml version="1.0" encoding="utf-8"?>
<rvStructures xmlns="http://schemas.microsoft.com/office/spreadsheetml/2017/richdata" count="14">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Change"/>
    <k n="Change (%)"/>
    <k n="Country/region" t="s"/>
    <k n="Currency" t="s"/>
    <k n="Instrument type" t="s"/>
    <k n="Last trade time"/>
    <k n="Last update time"/>
    <k n="Name" t="s"/>
    <k n="Net assets"/>
    <k n="Previous close"/>
    <k n="Price"/>
    <k n="Rating"/>
    <k n="Return (1m)"/>
    <k n="Return (1w)"/>
    <k n="Return (3m)"/>
    <k n="Return (3y)"/>
    <k n="Return (5y)"/>
    <k n="Return (YTD)"/>
    <k n="UniqueName" t="s"/>
  </s>
  <s t="_linkedentitycore">
    <k n="%EntityCulture" t="s"/>
    <k n="%EntityId" t="s"/>
    <k n="%EntityServiceId"/>
    <k n="%IsRefreshable" t="b"/>
    <k n="%ProviderInfo" t="s"/>
    <k n="_Display" t="spb"/>
    <k n="_DisplayString" t="s"/>
    <k n="_Flags" t="spb"/>
    <k n="_Format" t="spb"/>
    <k n="_Icon" t="s"/>
    <k n="_SubLabel" t="spb"/>
    <k n="Change"/>
    <k n="Change (%)"/>
    <k n="Country/region" t="s"/>
    <k n="Currency" t="s"/>
    <k n="Expense ratio"/>
    <k n="Instrument type" t="s"/>
    <k n="Last trade time"/>
    <k n="Last update time"/>
    <k n="LearnMoreOnLink" t="r"/>
    <k n="Name" t="s"/>
    <k n="Net assets"/>
    <k n="Previous close"/>
    <k n="Price"/>
    <k n="Rating"/>
    <k n="Return (1m)"/>
    <k n="Return (1w)"/>
    <k n="Return (1y)"/>
    <k n="Return (3m)"/>
    <k n="Return (3y)"/>
    <k n="Return (5y)"/>
    <k n="Return (YTD)"/>
    <k n="Ticker symbol" t="s"/>
    <k n="UniqueName"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Exchange" t="s"/>
    <k n="Exchange abbreviation" t="s"/>
    <k n="Expense ratio"/>
    <k n="High"/>
    <k n="Instrument type" t="s"/>
    <k n="Last trade time"/>
    <k n="LearnMoreOnLink" t="r"/>
    <k n="Low"/>
    <k n="Market cap"/>
    <k n="Name" t="s"/>
    <k n="Open"/>
    <k n="Previous close"/>
    <k n="Price"/>
    <k n="Ticker symbol" t="s"/>
    <k n="UniqueName" t="s"/>
    <k n="Volume"/>
    <k n="Volume average"/>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Exchange" t="s"/>
    <k n="Exchange abbreviation" t="s"/>
    <k n="Expense ratio"/>
    <k n="High"/>
    <k n="Instrument type" t="s"/>
    <k n="Last trade time"/>
    <k n="Low"/>
    <k n="Market cap"/>
    <k n="Name" t="s"/>
    <k n="Open"/>
    <k n="Previous close"/>
    <k n="Price"/>
    <k n="Ticker symbol" t="s"/>
    <k n="UniqueName" t="s"/>
    <k n="Volume"/>
    <k n="Volume average"/>
  </s>
  <s t="_formattednumber">
    <k n="_Format" t="spb"/>
  </s>
  <s t="_stockhistorycache">
    <k n="_Format" t="spb"/>
    <k n="Symbol" t="s"/>
    <k n="Interval" t="s"/>
    <k n="StartDate" t="i"/>
    <k n="EndDate" t="i"/>
    <k n="f1904" t="b"/>
    <k n="fdcompat" t="b"/>
    <k n="etag" t="s"/>
    <k n="Date" t="a"/>
    <k n="EntityId" t="s"/>
    <k n="Instrument" t="s"/>
    <k n="Close" t="a"/>
  </s>
</rvStructures>
</file>

<file path=xl/richData/rdsupportingpropertybag.xml><?xml version="1.0" encoding="utf-8"?>
<supportingPropertyBags xmlns="http://schemas.microsoft.com/office/spreadsheetml/2017/richdata2">
  <spbArrays count="8">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3">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LearnMoreOnLink</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ExchangeID</v>
      <v t="s">%ProviderInfo</v>
    </a>
    <a count="30">
      <v t="s">%EntityServiceId</v>
      <v t="s">_Format</v>
      <v t="s">%IsRefreshable</v>
      <v t="s">%EntityCulture</v>
      <v t="s">%EntityId</v>
      <v t="s">_Icon</v>
      <v t="s">_Display</v>
      <v t="s">Name</v>
      <v t="s">Price</v>
      <v t="s">Country/region</v>
      <v t="s">_SubLabel</v>
      <v t="s">Change</v>
      <v t="s">Change (%)</v>
      <v t="s">Rating</v>
      <v t="s">Previous close</v>
      <v t="s">Return (YTD)</v>
      <v t="s">Return (1w)</v>
      <v t="s">Return (1m)</v>
      <v t="s">Return (3m)</v>
      <v t="s">Return (3y)</v>
      <v t="s">Return (5y)</v>
      <v t="s">Net assets</v>
      <v t="s">_Flags</v>
      <v t="s">Last update time</v>
      <v t="s">Last trade time</v>
      <v t="s">Instrument type</v>
      <v t="s">Currency</v>
      <v t="s">UniqueName</v>
      <v t="s">_DisplayString</v>
      <v t="s">%ProviderInfo</v>
    </a>
    <a count="34">
      <v t="s">%EntityServiceId</v>
      <v t="s">_Format</v>
      <v t="s">%IsRefreshable</v>
      <v t="s">%EntityCulture</v>
      <v t="s">%EntityId</v>
      <v t="s">_Icon</v>
      <v t="s">_Display</v>
      <v t="s">Name</v>
      <v t="s">Price</v>
      <v t="s">Ticker symbol</v>
      <v t="s">Country/region</v>
      <v t="s">_SubLabel</v>
      <v t="s">Change</v>
      <v t="s">Change (%)</v>
      <v t="s">Rating</v>
      <v t="s">Expense ratio</v>
      <v t="s">Previous close</v>
      <v t="s">Return (YTD)</v>
      <v t="s">Return (1w)</v>
      <v t="s">Return (1m)</v>
      <v t="s">Return (3m)</v>
      <v t="s">Return (1y)</v>
      <v t="s">Return (3y)</v>
      <v t="s">Return (5y)</v>
      <v t="s">Net assets</v>
      <v t="s">_Flags</v>
      <v t="s">Last update time</v>
      <v t="s">Last trade time</v>
      <v t="s">Instrument type</v>
      <v t="s">Currency</v>
      <v t="s">UniqueName</v>
      <v t="s">_DisplayString</v>
      <v t="s">LearnMoreOnLink</v>
      <v t="s">%ProviderInfo</v>
    </a>
    <a count="34">
      <v t="s">%EntityServiceId</v>
      <v t="s">_Format</v>
      <v t="s">%IsRefreshable</v>
      <v t="s">%EntityCulture</v>
      <v t="s">%EntityId</v>
      <v t="s">_Icon</v>
      <v t="s">_Display</v>
      <v t="s">Name</v>
      <v t="s">_SubLabel</v>
      <v t="s">Price</v>
      <v t="s">Exchange</v>
      <v t="s">Last trade time</v>
      <v t="s">Ticker symbol</v>
      <v t="s">Exchange abbreviation</v>
      <v t="s">Change</v>
      <v t="s">Expense ratio</v>
      <v t="s">Change (%)</v>
      <v t="s">Currency</v>
      <v t="s">Previous close</v>
      <v t="s">Open</v>
      <v t="s">High</v>
      <v t="s">Low</v>
      <v t="s">52 week high</v>
      <v t="s">52 week low</v>
      <v t="s">Volume</v>
      <v t="s">Volume average</v>
      <v t="s">Market cap</v>
      <v t="s">Beta</v>
      <v t="s">Instrument type</v>
      <v t="s">_Flags</v>
      <v t="s">UniqueName</v>
      <v t="s">_DisplayString</v>
      <v t="s">LearnMoreOnLink</v>
      <v t="s">%ProviderInfo</v>
    </a>
    <a count="32">
      <v t="s">%EntityServiceId</v>
      <v t="s">_Format</v>
      <v t="s">%IsRefreshable</v>
      <v t="s">%EntityCulture</v>
      <v t="s">%EntityId</v>
      <v t="s">_Icon</v>
      <v t="s">_Display</v>
      <v t="s">Name</v>
      <v t="s">_SubLabel</v>
      <v t="s">Price</v>
      <v t="s">Exchange</v>
      <v t="s">Last trade time</v>
      <v t="s">Ticker symbol</v>
      <v t="s">Exchange abbreviation</v>
      <v t="s">Change</v>
      <v t="s">Expense ratio</v>
      <v t="s">Change (%)</v>
      <v t="s">Currency</v>
      <v t="s">Previous close</v>
      <v t="s">Open</v>
      <v t="s">High</v>
      <v t="s">Low</v>
      <v t="s">52 week high</v>
      <v t="s">52 week low</v>
      <v t="s">Volume</v>
      <v t="s">Volume average</v>
      <v t="s">Market cap</v>
      <v t="s">Instrument type</v>
      <v t="s">_Flags</v>
      <v t="s">UniqueName</v>
      <v t="s">_DisplayString</v>
      <v t="s">%ProviderInfo</v>
    </a>
  </spbArrays>
  <spbData count="35">
    <spb s="0">
      <v>0</v>
      <v>Name</v>
      <v>LearnMoreOnLink</v>
    </spb>
    <spb s="1">
      <v>0</v>
      <v>0</v>
      <v>0</v>
    </spb>
    <spb s="2">
      <v>1</v>
      <v>1</v>
      <v>1</v>
      <v>1</v>
    </spb>
    <spb s="3">
      <v>1</v>
      <v>2</v>
      <v>2</v>
      <v>1</v>
      <v>3</v>
      <v>1</v>
      <v>1</v>
      <v>1</v>
      <v>4</v>
      <v>4</v>
      <v>5</v>
      <v>6</v>
      <v>1</v>
      <v>1</v>
      <v>1</v>
      <v>4</v>
      <v>7</v>
      <v>8</v>
      <v>9</v>
      <v>4</v>
    </spb>
    <spb s="4">
      <v>Real-Time Nasdaq Last Sale</v>
      <v>from previous close</v>
      <v>from previous close</v>
      <v>Source: Nasdaq Last Sale</v>
      <v>GMT</v>
    </spb>
    <spb s="0">
      <v>1</v>
      <v>Name</v>
      <v>LearnMoreOnLink</v>
    </spb>
    <spb s="5">
      <v>0</v>
      <v>0</v>
    </spb>
    <spb s="6">
      <v>6</v>
      <v>1</v>
      <v>1</v>
      <v>1</v>
      <v>1</v>
    </spb>
    <spb s="7">
      <v>1</v>
      <v>2</v>
      <v>2</v>
      <v>1</v>
      <v>3</v>
      <v>1</v>
      <v>10</v>
      <v>1</v>
      <v>1</v>
      <v>4</v>
      <v>4</v>
      <v>5</v>
      <v>6</v>
      <v>1</v>
      <v>1</v>
      <v>1</v>
      <v>4</v>
      <v>7</v>
      <v>8</v>
      <v>9</v>
      <v>4</v>
    </spb>
    <spb s="8">
      <v>Powered by Refinitiv</v>
    </spb>
    <spb s="3">
      <v>11</v>
      <v>2</v>
      <v>2</v>
      <v>11</v>
      <v>3</v>
      <v>11</v>
      <v>11</v>
      <v>11</v>
      <v>4</v>
      <v>4</v>
      <v>5</v>
      <v>12</v>
      <v>11</v>
      <v>11</v>
      <v>11</v>
      <v>4</v>
      <v>7</v>
      <v>8</v>
      <v>9</v>
      <v>4</v>
    </spb>
    <spb s="9">
      <v>Delayed 20 minutes</v>
      <v>from previous close</v>
      <v>from previous close</v>
      <v>GMT</v>
    </spb>
    <spb s="0">
      <v>2</v>
      <v>Name</v>
      <v>LearnMoreOnLink</v>
    </spb>
    <spb s="10">
      <v>1</v>
      <v>2</v>
      <v>1</v>
      <v>3</v>
      <v>1</v>
      <v>1</v>
      <v>1</v>
      <v>4</v>
      <v>4</v>
      <v>5</v>
      <v>6</v>
      <v>1</v>
      <v>1</v>
      <v>1</v>
      <v>4</v>
      <v>7</v>
      <v>8</v>
      <v>9</v>
      <v>4</v>
    </spb>
    <spb s="11">
      <v>3</v>
      <v>Name</v>
    </spb>
    <spb s="12">
      <v>1</v>
      <v>1</v>
      <v>1</v>
    </spb>
    <spb s="11">
      <v>4</v>
      <v>Name</v>
    </spb>
    <spb s="13">
      <v>1</v>
      <v>1</v>
      <v>1</v>
    </spb>
    <spb s="14">
      <v>3</v>
      <v>13</v>
      <v>13</v>
      <v>4</v>
      <v>5</v>
      <v>14</v>
      <v>5</v>
      <v>5</v>
      <v>5</v>
      <v>5</v>
      <v>5</v>
      <v>5</v>
      <v>13</v>
      <v>15</v>
      <v>7</v>
      <v>9</v>
    </spb>
    <spb s="15">
      <v>from previous close</v>
      <v>from previous close</v>
      <v>GMT</v>
      <v>GMT</v>
    </spb>
    <spb s="0">
      <v>5</v>
      <v>Name</v>
      <v>LearnMoreOnLink</v>
    </spb>
    <spb s="16">
      <v>1</v>
      <v>1</v>
      <v>1</v>
      <v>1</v>
    </spb>
    <spb s="17">
      <v>3</v>
      <v>1</v>
      <v>1</v>
      <v>4</v>
      <v>5</v>
      <v>6</v>
      <v>5</v>
      <v>5</v>
      <v>5</v>
      <v>5</v>
      <v>5</v>
      <v>5</v>
      <v>5</v>
      <v>5</v>
      <v>1</v>
      <v>7</v>
      <v>7</v>
      <v>9</v>
    </spb>
    <spb s="0">
      <v>6</v>
      <v>Name</v>
      <v>LearnMoreOnLink</v>
    </spb>
    <spb s="18">
      <v>1</v>
      <v>1</v>
      <v>1</v>
    </spb>
    <spb s="19">
      <v>1</v>
      <v>2</v>
      <v>1</v>
      <v>3</v>
      <v>1</v>
      <v>1</v>
      <v>1</v>
      <v>4</v>
      <v>5</v>
      <v>6</v>
      <v>1</v>
      <v>1</v>
      <v>5</v>
      <v>1</v>
      <v>4</v>
      <v>7</v>
      <v>9</v>
    </spb>
    <spb s="20">
      <v>Real-Time Nasdaq Last Sale</v>
      <v>from previous close</v>
      <v>Source: Nasdaq Last Sale</v>
      <v>from previous close</v>
      <v>GMT</v>
    </spb>
    <spb s="11">
      <v>7</v>
      <v>Name</v>
    </spb>
    <spb s="21">
      <v>1</v>
      <v>1</v>
    </spb>
    <spb s="22">
      <v>1</v>
      <v>1</v>
      <v>3</v>
      <v>1</v>
      <v>1</v>
      <v>1</v>
      <v>4</v>
      <v>5</v>
      <v>6</v>
      <v>1</v>
      <v>1</v>
      <v>5</v>
      <v>1</v>
      <v>4</v>
      <v>7</v>
      <v>9</v>
    </spb>
    <spb s="10">
      <v>16</v>
      <v>2</v>
      <v>16</v>
      <v>3</v>
      <v>16</v>
      <v>16</v>
      <v>16</v>
      <v>4</v>
      <v>4</v>
      <v>5</v>
      <v>17</v>
      <v>16</v>
      <v>16</v>
      <v>16</v>
      <v>4</v>
      <v>7</v>
      <v>8</v>
      <v>9</v>
      <v>4</v>
    </spb>
    <spb s="9">
      <v>End of Day</v>
      <v>from previous close</v>
      <v>from previous close</v>
      <v>GMT</v>
    </spb>
    <spb s="23">
      <v>15</v>
    </spb>
    <spb s="23">
      <v>1</v>
    </spb>
    <spb s="24">
      <v>15</v>
      <v>1</v>
    </spb>
  </spbData>
</supportingPropertyBags>
</file>

<file path=xl/richData/rdsupportingpropertybagstructure.xml><?xml version="1.0" encoding="utf-8"?>
<spbStructures xmlns="http://schemas.microsoft.com/office/spreadsheetml/2017/richdata2" count="25">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ExchangeID" t="s"/>
    <k n="Last trade time" t="s"/>
  </s>
  <s>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s>
  <s>
    <k n="name" t="s"/>
  </s>
  <s>
    <k n="Price" t="s"/>
    <k n="Change" t="s"/>
    <k n="Change (%)" t="s"/>
    <k n="Last trade time" t="s"/>
  </s>
  <s>
    <k n="Low"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Order" t="spba"/>
    <k n="TitleProperty" t="s"/>
  </s>
  <s>
    <k n="ExchangeID" t="spb"/>
    <k n="UniqueName" t="spb"/>
    <k n="`%ProviderInfo" t="spb"/>
  </s>
  <s>
    <k n="UniqueName" t="spb"/>
    <k n="`%ProviderInfo" t="spb"/>
    <k n="Last update time" t="spb"/>
  </s>
  <s>
    <k n="Name" t="i"/>
    <k n="Price" t="i"/>
    <k n="Change" t="i"/>
    <k n="Rating" t="i"/>
    <k n="Change (%)" t="i"/>
    <k n="Net assets" t="i"/>
    <k n="Return (1m)" t="i"/>
    <k n="Return (1w)" t="i"/>
    <k n="Return (3m)" t="i"/>
    <k n="Return (3y)" t="i"/>
    <k n="Return (5y)" t="i"/>
    <k n="Return (YTD)" t="i"/>
    <k n="Previous close" t="i"/>
    <k n="Last trade time" t="i"/>
    <k n="Last update time" t="i"/>
    <k n="`%EntityServiceId" t="i"/>
  </s>
  <s>
    <k n="Change" t="s"/>
    <k n="Change (%)" t="s"/>
    <k n="Last trade time" t="s"/>
    <k n="Last update time" t="s"/>
  </s>
  <s>
    <k n="UniqueName" t="spb"/>
    <k n="`%ProviderInfo" t="spb"/>
    <k n="LearnMoreOnLink" t="spb"/>
    <k n="Last update time" t="spb"/>
  </s>
  <s>
    <k n="Name" t="i"/>
    <k n="Price" t="i"/>
    <k n="Change" t="i"/>
    <k n="Rating" t="i"/>
    <k n="Change (%)" t="i"/>
    <k n="Net assets" t="i"/>
    <k n="Return (1m)" t="i"/>
    <k n="Return (1w)" t="i"/>
    <k n="Return (1y)" t="i"/>
    <k n="Return (3m)" t="i"/>
    <k n="Return (3y)" t="i"/>
    <k n="Return (5y)" t="i"/>
    <k n="Return (YTD)" t="i"/>
    <k n="Expense ratio" t="i"/>
    <k n="Previous close" t="i"/>
    <k n="Last trade time" t="i"/>
    <k n="Last update time" t="i"/>
    <k n="`%EntityServiceId" t="i"/>
  </s>
  <s>
    <k n="UniqueName" t="spb"/>
    <k n="`%ProviderInfo" t="spb"/>
    <k n="LearnMoreOnLink" t="spb"/>
  </s>
  <s>
    <k n="Low" t="i"/>
    <k n="Beta" t="i"/>
    <k n="High" t="i"/>
    <k n="Name" t="i"/>
    <k n="Open" t="i"/>
    <k n="Price" t="i"/>
    <k n="Change" t="i"/>
    <k n="Volume" t="i"/>
    <k n="Change (%)" t="i"/>
    <k n="Market cap" t="i"/>
    <k n="52 week low" t="i"/>
    <k n="52 week high" t="i"/>
    <k n="Expense ratio" t="i"/>
    <k n="Previous close" t="i"/>
    <k n="Volume average" t="i"/>
    <k n="Last trade time" t="i"/>
    <k n="`%EntityServiceId" t="i"/>
  </s>
  <s>
    <k n="Price" t="s"/>
    <k n="Change" t="s"/>
    <k n="Exchange" t="s"/>
    <k n="Change (%)" t="s"/>
    <k n="Last trade time" t="s"/>
  </s>
  <s>
    <k n="UniqueName" t="spb"/>
    <k n="`%ProviderInfo" t="spb"/>
  </s>
  <s>
    <k n="Low" t="i"/>
    <k n="High" t="i"/>
    <k n="Name" t="i"/>
    <k n="Open" t="i"/>
    <k n="Price" t="i"/>
    <k n="Change" t="i"/>
    <k n="Volume" t="i"/>
    <k n="Change (%)" t="i"/>
    <k n="Market cap" t="i"/>
    <k n="52 week low" t="i"/>
    <k n="52 week high" t="i"/>
    <k n="Expense ratio" t="i"/>
    <k n="Previous close" t="i"/>
    <k n="Volume average" t="i"/>
    <k n="Last trade time" t="i"/>
    <k n="`%EntityServiceId" t="i"/>
  </s>
  <s>
    <k n="_Self" t="i"/>
  </s>
  <s>
    <k n="Date" t="i"/>
    <k n="Close"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8">
    <x:dxf>
      <x:numFmt numFmtId="2" formatCode="0.00"/>
    </x:dxf>
    <x:dxf>
      <x:numFmt numFmtId="0" formatCode="General"/>
    </x:dxf>
    <x:dxf>
      <x:numFmt numFmtId="27" formatCode="d/mm/yyyy\ h:mm"/>
    </x:dxf>
    <x:dxf>
      <x:numFmt numFmtId="14" formatCode="0.00%"/>
    </x:dxf>
    <x:dxf>
      <x:numFmt numFmtId="3" formatCode="#,##0"/>
    </x:dxf>
    <x:dxf>
      <x:numFmt numFmtId="4" formatCode="#,##0.00"/>
    </x:dxf>
    <x:dxf>
      <x:numFmt numFmtId="1" formatCode="0"/>
    </x:dxf>
    <x:dxf>
      <x:numFmt numFmtId="19" formatCode="d/mm/yyyy"/>
    </x:dxf>
  </dxfs>
  <richProperties>
    <rPr n="NumberFormat" t="s"/>
    <rPr n="IsTitleField" t="b"/>
    <rPr n="IsHeroField" t="b"/>
  </richProperties>
  <richStyles>
    <rSty dxfid="1">
      <rpv i="0">_([$$-en-US]* #,##0.00_);_([$$-en-US]* (#,##0.00);_([$$-en-US]* "-"??_);_(@_)</rpv>
    </rSty>
    <rSty dxfid="5">
      <rpv i="0">#,##0.00</rpv>
    </rSty>
    <rSty>
      <rpv i="1">1</rpv>
    </rSty>
    <rSty dxfid="4">
      <rpv i="0">#,##0</rpv>
    </rSty>
    <rSty dxfid="3"/>
    <rSty dxfid="1">
      <rpv i="0">_([$$-en-US]* #,##0_);_([$$-en-US]* (#,##0);_([$$-en-US]* "-"_);_(@_)</rpv>
    </rSty>
    <rSty dxfid="2"/>
    <rSty dxfid="6">
      <rpv i="0">0</rpv>
    </rSty>
    <rSty dxfid="0">
      <rpv i="0">0.00</rpv>
    </rSty>
    <rSty>
      <rpv i="2">1</rpv>
    </rSty>
    <rSty dxfid="1">
      <rpv i="0">_-[$$-en-CA]* #,##0.00_-;-[$$-en-CA]* #,##0.00_-;_-[$$-en-CA]* "-"??_-;_-@_-</rpv>
    </rSty>
    <rSty dxfid="1">
      <rpv i="0">_-[$$-en-CA]* #,##0_-;-[$$-en-CA]* #,##0_-;_-[$$-en-CA]* "-"_-;_-@_-</rpv>
    </rSty>
    <rSty dxfid="1">
      <rpv i="0">_-[$¥-ja-JP]* #,##0.00_-;-[$¥-ja-JP]* #,##0.00_-;_-[$¥-ja-JP]* "-"??_-;_-@_-</rpv>
    </rSty>
    <rSty dxfid="1">
      <rpv i="0">_-[$¥-ja-JP]* #,##0_-;-[$¥-ja-JP]* #,##0_-;_-[$¥-ja-JP]* "-"_-;_-@_-</rpv>
    </rSty>
    <rSty dxfid="7"/>
    <rSty dxfid="1">
      <rpv i="0">_-* #,##0.00 [$zł-pl-PL]_-;-* #,##0.00 [$zł-pl-PL]_-;_-* "-"?? [$zł-pl-PL]_-;_-@_-</rpv>
    </rSty>
    <rSty dxfid="1">
      <rpv i="0">_-* #,##0 [$zł-pl-PL]_-;-* #,##0 [$zł-pl-PL]_-;_-* "-" [$zł-pl-PL]_-;_-@_-</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85409-7F7F-4215-9249-A5C5ED92EA04}">
  <dimension ref="B1:L47"/>
  <sheetViews>
    <sheetView showGridLines="0" tabSelected="1" workbookViewId="0">
      <pane ySplit="4" topLeftCell="A5" activePane="bottomLeft" state="frozen"/>
      <selection pane="bottomLeft" activeCell="K53" sqref="K53"/>
    </sheetView>
  </sheetViews>
  <sheetFormatPr defaultRowHeight="15" x14ac:dyDescent="0.25"/>
  <cols>
    <col min="2" max="2" width="18" bestFit="1" customWidth="1"/>
    <col min="3" max="3" width="44.85546875" bestFit="1" customWidth="1"/>
    <col min="4" max="4" width="40.85546875" bestFit="1" customWidth="1"/>
    <col min="5" max="5" width="12.42578125" bestFit="1" customWidth="1"/>
    <col min="6" max="6" width="12.28515625" bestFit="1" customWidth="1"/>
    <col min="7" max="8" width="12.5703125" bestFit="1" customWidth="1"/>
    <col min="9" max="9" width="11.28515625" bestFit="1" customWidth="1"/>
    <col min="10" max="10" width="28" customWidth="1"/>
    <col min="11" max="11" width="12.28515625" bestFit="1" customWidth="1"/>
    <col min="12" max="12" width="8.140625" bestFit="1" customWidth="1"/>
  </cols>
  <sheetData>
    <row r="1" spans="2:12" x14ac:dyDescent="0.25">
      <c r="B1" t="s">
        <v>0</v>
      </c>
    </row>
    <row r="2" spans="2:12" x14ac:dyDescent="0.25">
      <c r="B2" s="1" t="s">
        <v>1</v>
      </c>
      <c r="C2" s="2">
        <f ca="1">TODAY()</f>
        <v>46175</v>
      </c>
    </row>
    <row r="4" spans="2:12" s="3" customFormat="1" x14ac:dyDescent="0.25">
      <c r="B4" s="21"/>
      <c r="C4" s="22" t="s">
        <v>2</v>
      </c>
      <c r="D4" s="23" t="s">
        <v>3</v>
      </c>
      <c r="E4" s="22" t="s">
        <v>4</v>
      </c>
      <c r="F4" s="22" t="s">
        <v>5</v>
      </c>
      <c r="G4" s="22" t="s">
        <v>6</v>
      </c>
      <c r="H4" s="22" t="s">
        <v>7</v>
      </c>
      <c r="I4" s="22" t="s">
        <v>8</v>
      </c>
      <c r="J4" s="22" t="s">
        <v>9</v>
      </c>
      <c r="K4" s="22" t="s">
        <v>12</v>
      </c>
      <c r="L4" s="24" t="s">
        <v>10</v>
      </c>
    </row>
    <row r="5" spans="2:12" s="3" customFormat="1" x14ac:dyDescent="0.25">
      <c r="B5" s="5" t="s">
        <v>11</v>
      </c>
      <c r="C5" s="6"/>
      <c r="D5" s="7"/>
      <c r="E5" s="6"/>
      <c r="F5" s="6"/>
      <c r="G5" s="6"/>
      <c r="H5" s="6"/>
      <c r="I5" s="6"/>
      <c r="J5" s="6"/>
      <c r="K5" s="6"/>
      <c r="L5" s="8"/>
    </row>
    <row r="6" spans="2:12" x14ac:dyDescent="0.25">
      <c r="B6" s="9" t="str" cm="1">
        <f t="array" aca="1" ref="B6" ca="1">_FV(C6,"Ticker symbol",TRUE)</f>
        <v>NVDA</v>
      </c>
      <c r="C6" s="10" t="e" vm="1">
        <v>#VALUE!</v>
      </c>
      <c r="D6" s="10" t="str" cm="1">
        <f t="array" aca="1" ref="D6" ca="1">_FV(C6,"Name")</f>
        <v>NVIDIA CORPORATION</v>
      </c>
      <c r="E6" s="10">
        <v>3.4476190476190598</v>
      </c>
      <c r="F6" s="10">
        <v>45</v>
      </c>
      <c r="G6" s="11" cm="1">
        <f t="array" aca="1" ref="G6" ca="1">_FV(C6,"Price")</f>
        <v>222.86</v>
      </c>
      <c r="H6" s="12">
        <f ca="1">G6*E6</f>
        <v>768.33638095238371</v>
      </c>
      <c r="I6" s="12">
        <f>F6*E6</f>
        <v>155.14285714285768</v>
      </c>
      <c r="J6" s="12">
        <f ca="1">H6-I6</f>
        <v>613.19352380952603</v>
      </c>
      <c r="K6" s="13">
        <f ca="1">H6/I6-1</f>
        <v>3.9524444444444446</v>
      </c>
      <c r="L6" s="14">
        <f ca="1">H6/$H$29</f>
        <v>1.1214252801142835E-2</v>
      </c>
    </row>
    <row r="7" spans="2:12" x14ac:dyDescent="0.25">
      <c r="B7" s="9" t="str" cm="1">
        <f t="array" aca="1" ref="B7" ca="1">_FV(C7,"Ticker symbol",TRUE)</f>
        <v>AAPL</v>
      </c>
      <c r="C7" s="10" t="e" vm="2">
        <v>#VALUE!</v>
      </c>
      <c r="D7" s="10" t="str" cm="1">
        <f t="array" aca="1" ref="D7" ca="1">_FV(C7,"Name")</f>
        <v>APPLE INC.</v>
      </c>
      <c r="E7" s="10">
        <v>3.7904761904762001</v>
      </c>
      <c r="F7" s="10">
        <v>500</v>
      </c>
      <c r="G7" s="11" cm="1">
        <f t="array" aca="1" ref="G7" ca="1">_FV(C7,"Price")</f>
        <v>314.75</v>
      </c>
      <c r="H7" s="12">
        <f t="shared" ref="H7:H28" ca="1" si="0">G7*E7</f>
        <v>1193.0523809523841</v>
      </c>
      <c r="I7" s="12">
        <f t="shared" ref="I7:I20" si="1">F7*E7</f>
        <v>1895.2380952381</v>
      </c>
      <c r="J7" s="12">
        <f t="shared" ref="J7:J20" ca="1" si="2">H7-I7</f>
        <v>-702.1857142857159</v>
      </c>
      <c r="K7" s="13">
        <f t="shared" ref="K7:K20" ca="1" si="3">H7/I7-1</f>
        <v>-0.37049999999999994</v>
      </c>
      <c r="L7" s="14">
        <f t="shared" ref="L7:L28" ca="1" si="4">H7/$H$29</f>
        <v>1.7413194710917318E-2</v>
      </c>
    </row>
    <row r="8" spans="2:12" x14ac:dyDescent="0.25">
      <c r="B8" s="9" t="str" cm="1">
        <f t="array" aca="1" ref="B8" ca="1">_FV(C8,"Ticker symbol",TRUE)</f>
        <v>MSFT</v>
      </c>
      <c r="C8" s="10" t="e" vm="3">
        <v>#VALUE!</v>
      </c>
      <c r="D8" s="10" t="str" cm="1">
        <f t="array" aca="1" ref="D8" ca="1">_FV(C8,"Name")</f>
        <v>MICROSOFT CORPORATION</v>
      </c>
      <c r="E8" s="10">
        <v>4.13333333333334</v>
      </c>
      <c r="F8" s="10">
        <v>340</v>
      </c>
      <c r="G8" s="11" cm="1">
        <f t="array" aca="1" ref="G8" ca="1">_FV(C8,"Price")</f>
        <v>441.89</v>
      </c>
      <c r="H8" s="12">
        <f t="shared" ca="1" si="0"/>
        <v>1826.4786666666696</v>
      </c>
      <c r="I8" s="12">
        <f t="shared" si="1"/>
        <v>1405.3333333333355</v>
      </c>
      <c r="J8" s="12">
        <f t="shared" ca="1" si="2"/>
        <v>421.14533333333407</v>
      </c>
      <c r="K8" s="13">
        <f t="shared" ca="1" si="3"/>
        <v>0.29967647058823532</v>
      </c>
      <c r="L8" s="14">
        <f t="shared" ca="1" si="4"/>
        <v>2.6658367365743292E-2</v>
      </c>
    </row>
    <row r="9" spans="2:12" x14ac:dyDescent="0.25">
      <c r="B9" s="9" t="str" cm="1">
        <f t="array" aca="1" ref="B9" ca="1">_FV(C9,"Ticker symbol",TRUE)</f>
        <v>GOOGL</v>
      </c>
      <c r="C9" s="10" t="e" vm="4">
        <v>#VALUE!</v>
      </c>
      <c r="D9" s="10" t="str" cm="1">
        <f t="array" aca="1" ref="D9" ca="1">_FV(C9,"Name")</f>
        <v>ALPHABET INC.</v>
      </c>
      <c r="E9" s="10">
        <v>4.4761904761904896</v>
      </c>
      <c r="F9" s="10">
        <v>565</v>
      </c>
      <c r="G9" s="11" cm="1">
        <f t="array" aca="1" ref="G9" ca="1">_FV(C9,"Price")</f>
        <v>363.94</v>
      </c>
      <c r="H9" s="12">
        <f t="shared" ca="1" si="0"/>
        <v>1629.0647619047668</v>
      </c>
      <c r="I9" s="12">
        <f t="shared" si="1"/>
        <v>2529.0476190476265</v>
      </c>
      <c r="J9" s="12">
        <f t="shared" ca="1" si="2"/>
        <v>-899.98285714285976</v>
      </c>
      <c r="K9" s="13">
        <f t="shared" ca="1" si="3"/>
        <v>-0.355858407079646</v>
      </c>
      <c r="L9" s="14">
        <f t="shared" ca="1" si="4"/>
        <v>2.3777012936428674E-2</v>
      </c>
    </row>
    <row r="10" spans="2:12" x14ac:dyDescent="0.25">
      <c r="B10" s="9" t="str" cm="1">
        <f t="array" aca="1" ref="B10" ca="1">_FV(C10,"Ticker symbol",TRUE)</f>
        <v>KO</v>
      </c>
      <c r="C10" s="10" t="e" vm="5">
        <v>#VALUE!</v>
      </c>
      <c r="D10" s="10" t="str" cm="1">
        <f t="array" aca="1" ref="D10" ca="1">_FV(C10,"Name")</f>
        <v>THE COCA-COLA COMPANY</v>
      </c>
      <c r="E10" s="10">
        <v>4.8190476190476303</v>
      </c>
      <c r="F10" s="10">
        <v>34</v>
      </c>
      <c r="G10" s="11" cm="1">
        <f t="array" aca="1" ref="G10" ca="1">_FV(C10,"Price")</f>
        <v>78.45</v>
      </c>
      <c r="H10" s="12">
        <f t="shared" ca="1" si="0"/>
        <v>378.05428571428661</v>
      </c>
      <c r="I10" s="12">
        <f t="shared" si="1"/>
        <v>163.84761904761945</v>
      </c>
      <c r="J10" s="12">
        <f t="shared" ca="1" si="2"/>
        <v>214.20666666666716</v>
      </c>
      <c r="K10" s="13">
        <f t="shared" ca="1" si="3"/>
        <v>1.3073529411764704</v>
      </c>
      <c r="L10" s="14">
        <f t="shared" ca="1" si="4"/>
        <v>5.5178909103592664E-3</v>
      </c>
    </row>
    <row r="11" spans="2:12" x14ac:dyDescent="0.25">
      <c r="B11" s="9" t="str" cm="1">
        <f t="array" aca="1" ref="B11" ca="1">_FV(C11,"Ticker symbol",TRUE)</f>
        <v>PEP</v>
      </c>
      <c r="C11" s="10" t="e" vm="6">
        <v>#VALUE!</v>
      </c>
      <c r="D11" s="10" t="str" cm="1">
        <f t="array" aca="1" ref="D11" ca="1">_FV(C11,"Name")</f>
        <v>Pepsico, Inc.</v>
      </c>
      <c r="E11" s="10">
        <v>5.1619047619047702</v>
      </c>
      <c r="F11" s="10">
        <v>243</v>
      </c>
      <c r="G11" s="11" cm="1">
        <f t="array" aca="1" ref="G11" ca="1">_FV(C11,"Price")</f>
        <v>142.25</v>
      </c>
      <c r="H11" s="12">
        <f t="shared" ca="1" si="0"/>
        <v>734.28095238095352</v>
      </c>
      <c r="I11" s="12">
        <f t="shared" si="1"/>
        <v>1254.3428571428592</v>
      </c>
      <c r="J11" s="12">
        <f t="shared" ca="1" si="2"/>
        <v>-520.06190476190568</v>
      </c>
      <c r="K11" s="13">
        <f t="shared" ca="1" si="3"/>
        <v>-0.41460905349794241</v>
      </c>
      <c r="L11" s="14">
        <f t="shared" ca="1" si="4"/>
        <v>1.0717196830972723E-2</v>
      </c>
    </row>
    <row r="12" spans="2:12" x14ac:dyDescent="0.25">
      <c r="B12" s="9" t="str" cm="1">
        <f t="array" aca="1" ref="B12" ca="1">_FV(C12,"Ticker symbol",TRUE)</f>
        <v>META</v>
      </c>
      <c r="C12" s="10" t="e" vm="7">
        <v>#VALUE!</v>
      </c>
      <c r="D12" s="10" t="str" cm="1">
        <f t="array" aca="1" ref="D12" ca="1">_FV(C12,"Name")</f>
        <v>META PLATFORMS, INC.</v>
      </c>
      <c r="E12" s="10">
        <v>5.5047619047619101</v>
      </c>
      <c r="F12" s="10">
        <v>35</v>
      </c>
      <c r="G12" s="11" cm="1">
        <f t="array" aca="1" ref="G12" ca="1">_FV(C12,"Price")</f>
        <v>600.625</v>
      </c>
      <c r="H12" s="12">
        <f t="shared" ca="1" si="0"/>
        <v>3306.2976190476224</v>
      </c>
      <c r="I12" s="12">
        <f t="shared" si="1"/>
        <v>192.66666666666686</v>
      </c>
      <c r="J12" s="12">
        <f t="shared" ca="1" si="2"/>
        <v>3113.6309523809555</v>
      </c>
      <c r="K12" s="13">
        <f t="shared" ca="1" si="3"/>
        <v>16.160714285714288</v>
      </c>
      <c r="L12" s="14">
        <f t="shared" ca="1" si="4"/>
        <v>4.825706325380226E-2</v>
      </c>
    </row>
    <row r="13" spans="2:12" x14ac:dyDescent="0.25">
      <c r="B13" s="9" t="str" cm="1">
        <f t="array" aca="1" ref="B13" ca="1">_FV(C13,"Ticker symbol",TRUE)</f>
        <v>AMZN</v>
      </c>
      <c r="C13" s="10" t="e" vm="8">
        <v>#VALUE!</v>
      </c>
      <c r="D13" s="10" t="str" cm="1">
        <f t="array" aca="1" ref="D13" ca="1">_FV(C13,"Name")</f>
        <v>AMAZON.COM, INC.</v>
      </c>
      <c r="E13" s="10">
        <v>5.8476190476190499</v>
      </c>
      <c r="F13" s="10">
        <v>982</v>
      </c>
      <c r="G13" s="11" cm="1">
        <f t="array" aca="1" ref="G13" ca="1">_FV(C13,"Price")</f>
        <v>258.05</v>
      </c>
      <c r="H13" s="12">
        <f t="shared" ca="1" si="0"/>
        <v>1508.9780952380959</v>
      </c>
      <c r="I13" s="12">
        <f t="shared" si="1"/>
        <v>5742.3619047619068</v>
      </c>
      <c r="J13" s="12">
        <f t="shared" ca="1" si="2"/>
        <v>-4233.3838095238107</v>
      </c>
      <c r="K13" s="13">
        <f t="shared" ca="1" si="3"/>
        <v>-0.7372199592668025</v>
      </c>
      <c r="L13" s="14">
        <f t="shared" ca="1" si="4"/>
        <v>2.2024288125484081E-2</v>
      </c>
    </row>
    <row r="14" spans="2:12" x14ac:dyDescent="0.25">
      <c r="B14" s="9" t="str" cm="1">
        <f t="array" aca="1" ref="B14" ca="1">_FV(C14,"Ticker symbol",TRUE)</f>
        <v>WM</v>
      </c>
      <c r="C14" s="10" t="e" vm="9">
        <v>#VALUE!</v>
      </c>
      <c r="D14" s="10" t="str" cm="1">
        <f t="array" aca="1" ref="D14" ca="1">_FV(C14,"Name")</f>
        <v>WASTE MANAGEMENT, INC.</v>
      </c>
      <c r="E14" s="10">
        <v>6.1904761904761898</v>
      </c>
      <c r="F14" s="10">
        <v>12</v>
      </c>
      <c r="G14" s="11" cm="1">
        <f t="array" aca="1" ref="G14" ca="1">_FV(C14,"Price")</f>
        <v>211.16499999999999</v>
      </c>
      <c r="H14" s="12">
        <f t="shared" ca="1" si="0"/>
        <v>1307.2119047619046</v>
      </c>
      <c r="I14" s="12">
        <f t="shared" si="1"/>
        <v>74.285714285714278</v>
      </c>
      <c r="J14" s="12">
        <f t="shared" ca="1" si="2"/>
        <v>1232.9261904761904</v>
      </c>
      <c r="K14" s="13">
        <f t="shared" ca="1" si="3"/>
        <v>16.597083333333334</v>
      </c>
      <c r="L14" s="14">
        <f t="shared" ca="1" si="4"/>
        <v>1.9079409914824718E-2</v>
      </c>
    </row>
    <row r="15" spans="2:12" x14ac:dyDescent="0.25">
      <c r="B15" s="9" t="str" cm="1">
        <f t="array" aca="1" ref="B15" ca="1">_FV(C15,"Ticker symbol",TRUE)</f>
        <v>HRL</v>
      </c>
      <c r="C15" s="10" t="e" vm="10">
        <v>#VALUE!</v>
      </c>
      <c r="D15" s="10" t="str" cm="1">
        <f t="array" aca="1" ref="D15" ca="1">_FV(C15,"Name")</f>
        <v>HORMEL FOODS CORPORATION</v>
      </c>
      <c r="E15" s="10">
        <v>6.5333333333333297</v>
      </c>
      <c r="F15" s="10">
        <v>542</v>
      </c>
      <c r="G15" s="11" cm="1">
        <f t="array" aca="1" ref="G15" ca="1">_FV(C15,"Price")</f>
        <v>23.385000000000002</v>
      </c>
      <c r="H15" s="12">
        <f t="shared" ca="1" si="0"/>
        <v>152.78199999999993</v>
      </c>
      <c r="I15" s="12">
        <f t="shared" si="1"/>
        <v>3541.0666666666648</v>
      </c>
      <c r="J15" s="12">
        <f t="shared" ca="1" si="2"/>
        <v>-3388.2846666666646</v>
      </c>
      <c r="K15" s="13">
        <f t="shared" ca="1" si="3"/>
        <v>-0.95685424354243542</v>
      </c>
      <c r="L15" s="14">
        <f t="shared" ca="1" si="4"/>
        <v>2.2299295125664301E-3</v>
      </c>
    </row>
    <row r="16" spans="2:12" x14ac:dyDescent="0.25">
      <c r="B16" s="9" t="str" cm="1">
        <f t="array" aca="1" ref="B16" ca="1">_FV(C16,"Ticker symbol",TRUE)</f>
        <v>NKE</v>
      </c>
      <c r="C16" s="10" t="e" vm="11">
        <v>#VALUE!</v>
      </c>
      <c r="D16" s="10" t="str" cm="1">
        <f t="array" aca="1" ref="D16" ca="1">_FV(C16,"Name")</f>
        <v>NIKE, INC.</v>
      </c>
      <c r="E16" s="10">
        <v>6.8761904761904704</v>
      </c>
      <c r="F16" s="10">
        <v>146</v>
      </c>
      <c r="G16" s="11" cm="1">
        <f t="array" aca="1" ref="G16" ca="1">_FV(C16,"Price")</f>
        <v>43.524999999999999</v>
      </c>
      <c r="H16" s="12">
        <f t="shared" ca="1" si="0"/>
        <v>299.2861904761902</v>
      </c>
      <c r="I16" s="12">
        <f t="shared" si="1"/>
        <v>1003.9238095238087</v>
      </c>
      <c r="J16" s="12">
        <f t="shared" ca="1" si="2"/>
        <v>-704.6376190476185</v>
      </c>
      <c r="K16" s="13">
        <f t="shared" ca="1" si="3"/>
        <v>-0.7018835616438357</v>
      </c>
      <c r="L16" s="14">
        <f t="shared" ca="1" si="4"/>
        <v>4.3682312631490288E-3</v>
      </c>
    </row>
    <row r="17" spans="2:12" x14ac:dyDescent="0.25">
      <c r="B17" s="9" t="str" cm="1">
        <f t="array" aca="1" ref="B17" ca="1">_FV(C17,"Ticker symbol",TRUE)</f>
        <v>ASML</v>
      </c>
      <c r="C17" s="10" t="e" vm="12">
        <v>#VALUE!</v>
      </c>
      <c r="D17" s="10" t="str" cm="1">
        <f t="array" aca="1" ref="D17" ca="1">_FV(C17,"Name")</f>
        <v>ASML Holding NV</v>
      </c>
      <c r="E17" s="10">
        <v>7.21904761904762</v>
      </c>
      <c r="F17" s="10">
        <v>2400</v>
      </c>
      <c r="G17" s="11" cm="1">
        <f t="array" aca="1" ref="G17" ca="1">_FV(C17,"Price")</f>
        <v>1695.43</v>
      </c>
      <c r="H17" s="12">
        <f t="shared" ca="1" si="0"/>
        <v>12239.389904761907</v>
      </c>
      <c r="I17" s="12">
        <f t="shared" si="1"/>
        <v>17325.71428571429</v>
      </c>
      <c r="J17" s="12">
        <f t="shared" ca="1" si="2"/>
        <v>-5086.3243809523829</v>
      </c>
      <c r="K17" s="13">
        <f t="shared" ca="1" si="3"/>
        <v>-0.29357083333333334</v>
      </c>
      <c r="L17" s="14">
        <f t="shared" ca="1" si="4"/>
        <v>0.17864000186171289</v>
      </c>
    </row>
    <row r="18" spans="2:12" x14ac:dyDescent="0.25">
      <c r="B18" s="9" t="str" cm="1">
        <f t="array" aca="1" ref="B18" ca="1">_FV(C18,"Ticker symbol",TRUE)</f>
        <v>T</v>
      </c>
      <c r="C18" s="10" t="e" vm="13">
        <v>#VALUE!</v>
      </c>
      <c r="D18" s="10" t="str" cm="1">
        <f t="array" aca="1" ref="D18" ca="1">_FV(C18,"Name")</f>
        <v>TELUS CORPORATION</v>
      </c>
      <c r="E18" s="10">
        <v>7.5619047619047599</v>
      </c>
      <c r="F18" s="10">
        <v>500</v>
      </c>
      <c r="G18" s="11" cm="1">
        <f t="array" aca="1" ref="G18" ca="1">_FV(C18,"Price")</f>
        <v>17.375</v>
      </c>
      <c r="H18" s="12">
        <f t="shared" ca="1" si="0"/>
        <v>131.38809523809519</v>
      </c>
      <c r="I18" s="12">
        <f t="shared" si="1"/>
        <v>3780.9523809523798</v>
      </c>
      <c r="J18" s="12">
        <f t="shared" ca="1" si="2"/>
        <v>-3649.5642857142848</v>
      </c>
      <c r="K18" s="13">
        <f t="shared" ca="1" si="3"/>
        <v>-0.96525000000000005</v>
      </c>
      <c r="L18" s="14">
        <f t="shared" ca="1" si="4"/>
        <v>1.9176747991996271E-3</v>
      </c>
    </row>
    <row r="19" spans="2:12" x14ac:dyDescent="0.25">
      <c r="B19" s="9" t="str" cm="1">
        <f t="array" aca="1" ref="B19" ca="1">_FV(C19,"Ticker symbol",TRUE)</f>
        <v>DUK PR A</v>
      </c>
      <c r="C19" s="10" t="e" vm="14">
        <v>#VALUE!</v>
      </c>
      <c r="D19" s="10" t="str" cm="1">
        <f t="array" aca="1" ref="D19" ca="1">_FV(C19,"Name")</f>
        <v>DUKE ENERGY CORPORATION</v>
      </c>
      <c r="E19" s="10">
        <v>7.9047619047619104</v>
      </c>
      <c r="F19" s="10">
        <v>555</v>
      </c>
      <c r="G19" s="11" cm="1">
        <f t="array" aca="1" ref="G19" ca="1">_FV(C19,"Price")</f>
        <v>24.778400000000001</v>
      </c>
      <c r="H19" s="12">
        <f t="shared" ca="1" si="0"/>
        <v>195.86735238095252</v>
      </c>
      <c r="I19" s="12">
        <f t="shared" si="1"/>
        <v>4387.1428571428605</v>
      </c>
      <c r="J19" s="12">
        <f t="shared" ca="1" si="2"/>
        <v>-4191.2755047619085</v>
      </c>
      <c r="K19" s="13">
        <f t="shared" ca="1" si="3"/>
        <v>-0.95535423423423427</v>
      </c>
      <c r="L19" s="14">
        <f t="shared" ca="1" si="4"/>
        <v>2.858781725743444E-3</v>
      </c>
    </row>
    <row r="20" spans="2:12" x14ac:dyDescent="0.25">
      <c r="B20" s="9" t="str" cm="1">
        <f t="array" aca="1" ref="B20" ca="1">_FV(C20,"Ticker symbol",TRUE)</f>
        <v>ENB.PR.I</v>
      </c>
      <c r="C20" s="10" t="e" vm="15">
        <v>#VALUE!</v>
      </c>
      <c r="D20" s="10" t="str" cm="1">
        <f t="array" aca="1" ref="D20" ca="1">_FV(C20,"Name")</f>
        <v>Enbridge Inc.</v>
      </c>
      <c r="E20" s="10">
        <v>8.2476190476190396</v>
      </c>
      <c r="F20" s="10">
        <v>432</v>
      </c>
      <c r="G20" s="11" cm="1">
        <f t="array" aca="1" ref="G20" ca="1">_FV(C20,"Price")</f>
        <v>21.47</v>
      </c>
      <c r="H20" s="12">
        <f t="shared" ca="1" si="0"/>
        <v>177.07638095238076</v>
      </c>
      <c r="I20" s="12">
        <f t="shared" si="1"/>
        <v>3562.9714285714253</v>
      </c>
      <c r="J20" s="12">
        <f t="shared" ca="1" si="2"/>
        <v>-3385.8950476190448</v>
      </c>
      <c r="K20" s="13">
        <f t="shared" ca="1" si="3"/>
        <v>-0.95030092592592597</v>
      </c>
      <c r="L20" s="14">
        <f t="shared" ca="1" si="4"/>
        <v>2.584518122973715E-3</v>
      </c>
    </row>
    <row r="21" spans="2:12" s="3" customFormat="1" x14ac:dyDescent="0.25">
      <c r="B21" s="5" t="s">
        <v>13</v>
      </c>
      <c r="C21" s="6"/>
      <c r="D21" s="7"/>
      <c r="E21" s="6"/>
      <c r="F21" s="6"/>
      <c r="G21" s="6"/>
      <c r="H21" s="6"/>
      <c r="I21" s="6"/>
      <c r="J21" s="6"/>
      <c r="K21" s="6"/>
      <c r="L21" s="8"/>
    </row>
    <row r="22" spans="2:12" x14ac:dyDescent="0.25">
      <c r="B22" s="9"/>
      <c r="C22" s="10" t="e" vm="16">
        <v>#VALUE!</v>
      </c>
      <c r="D22" s="10" t="str" cm="1">
        <f t="array" aca="1" ref="D22" ca="1">_FV(C22,"Name")</f>
        <v>Invesco QQQ Mega Fund</v>
      </c>
      <c r="E22" s="10">
        <v>1</v>
      </c>
      <c r="F22" s="10">
        <v>1200</v>
      </c>
      <c r="G22" s="11" cm="1">
        <f t="array" aca="1" ref="G22" ca="1">_FV(C22,"Price")</f>
        <v>14056</v>
      </c>
      <c r="H22" s="12">
        <f t="shared" ca="1" si="0"/>
        <v>14056</v>
      </c>
      <c r="I22" s="12">
        <f t="shared" ref="I21:I28" si="5">F22*E22</f>
        <v>1200</v>
      </c>
      <c r="J22" s="12">
        <f t="shared" ref="J21:J28" ca="1" si="6">H22-I22</f>
        <v>12856</v>
      </c>
      <c r="K22" s="13">
        <f t="shared" ref="K21:K28" ca="1" si="7">H22/I22-1</f>
        <v>10.713333333333333</v>
      </c>
      <c r="L22" s="14">
        <f t="shared" ca="1" si="4"/>
        <v>0.20515433250404994</v>
      </c>
    </row>
    <row r="23" spans="2:12" x14ac:dyDescent="0.25">
      <c r="B23" s="9"/>
      <c r="C23" s="10" t="e" vm="17">
        <v>#VALUE!</v>
      </c>
      <c r="D23" s="10" t="str" cm="1">
        <f t="array" aca="1" ref="D23" ca="1">_FV(C23,"Name")</f>
        <v>Vanguard 500 Index Fund;Institutional Select</v>
      </c>
      <c r="E23" s="10">
        <v>9</v>
      </c>
      <c r="F23" s="10">
        <v>345</v>
      </c>
      <c r="G23" s="11" cm="1">
        <f t="array" aca="1" ref="G23" ca="1">_FV(C23,"Price")</f>
        <v>372.53</v>
      </c>
      <c r="H23" s="12">
        <f t="shared" ca="1" si="0"/>
        <v>3352.7699999999995</v>
      </c>
      <c r="I23" s="12">
        <f t="shared" si="5"/>
        <v>3105</v>
      </c>
      <c r="J23" s="12">
        <f t="shared" ca="1" si="6"/>
        <v>247.76999999999953</v>
      </c>
      <c r="K23" s="13">
        <f t="shared" ca="1" si="7"/>
        <v>7.9797101449275321E-2</v>
      </c>
      <c r="L23" s="14">
        <f t="shared" ca="1" si="4"/>
        <v>4.8935350838759488E-2</v>
      </c>
    </row>
    <row r="24" spans="2:12" x14ac:dyDescent="0.25">
      <c r="B24" s="9"/>
      <c r="C24" s="10" t="e" vm="18">
        <v>#VALUE!</v>
      </c>
      <c r="D24" s="10" t="str" cm="1">
        <f t="array" aca="1" ref="D24" ca="1">_FV(C24,"Name")</f>
        <v>State Street SPDR S&amp;P500</v>
      </c>
      <c r="E24" s="10">
        <v>12</v>
      </c>
      <c r="F24" s="10">
        <v>222</v>
      </c>
      <c r="G24" s="11" cm="1">
        <f t="array" aca="1" ref="G24" ca="1">_FV(C24,"Price")</f>
        <v>759.36500000000001</v>
      </c>
      <c r="H24" s="12">
        <f t="shared" ca="1" si="0"/>
        <v>9112.380000000001</v>
      </c>
      <c r="I24" s="12">
        <f t="shared" si="5"/>
        <v>2664</v>
      </c>
      <c r="J24" s="12">
        <f t="shared" ca="1" si="6"/>
        <v>6448.380000000001</v>
      </c>
      <c r="K24" s="13">
        <f t="shared" ca="1" si="7"/>
        <v>2.4205630630630632</v>
      </c>
      <c r="L24" s="14">
        <f t="shared" ca="1" si="4"/>
        <v>0.13299973224411318</v>
      </c>
    </row>
    <row r="25" spans="2:12" s="3" customFormat="1" x14ac:dyDescent="0.25">
      <c r="B25" s="5" t="s">
        <v>14</v>
      </c>
      <c r="C25" s="6"/>
      <c r="D25" s="7"/>
      <c r="E25" s="6"/>
      <c r="F25" s="6"/>
      <c r="G25" s="6"/>
      <c r="H25" s="6"/>
      <c r="I25" s="6"/>
      <c r="J25" s="6"/>
      <c r="K25" s="6"/>
      <c r="L25" s="8"/>
    </row>
    <row r="26" spans="2:12" x14ac:dyDescent="0.25">
      <c r="B26" s="9" t="s">
        <v>15</v>
      </c>
      <c r="C26" s="10" t="e" vm="19">
        <v>#VALUE!</v>
      </c>
      <c r="D26" s="10" t="str" cm="1">
        <f t="array" aca="1" ref="D26" ca="1">_FV(C26,"Name")</f>
        <v>SPDR Gold</v>
      </c>
      <c r="E26" s="10">
        <v>33</v>
      </c>
      <c r="F26" s="10">
        <v>123</v>
      </c>
      <c r="G26" s="11" cm="1">
        <f t="array" aca="1" ref="G26" ca="1">_FV(C26,"Price")</f>
        <v>411.82010000000002</v>
      </c>
      <c r="H26" s="12">
        <f t="shared" ca="1" si="0"/>
        <v>13590.063300000002</v>
      </c>
      <c r="I26" s="12">
        <f t="shared" si="5"/>
        <v>4059</v>
      </c>
      <c r="J26" s="12">
        <f t="shared" ca="1" si="6"/>
        <v>9531.0633000000016</v>
      </c>
      <c r="K26" s="13">
        <f t="shared" ca="1" si="7"/>
        <v>2.3481308943089436</v>
      </c>
      <c r="L26" s="14">
        <f t="shared" ca="1" si="4"/>
        <v>0.19835375391286897</v>
      </c>
    </row>
    <row r="27" spans="2:12" x14ac:dyDescent="0.25">
      <c r="B27" s="9" t="s">
        <v>16</v>
      </c>
      <c r="C27" s="10" t="e" vm="20">
        <v>#VALUE!</v>
      </c>
      <c r="D27" s="10" t="str" cm="1">
        <f t="array" aca="1" ref="D27" ca="1">_FV(C27,"Name")</f>
        <v>iShares Bitcoin Trust</v>
      </c>
      <c r="E27" s="10">
        <v>23</v>
      </c>
      <c r="F27" s="10">
        <v>23</v>
      </c>
      <c r="G27" s="11" cm="1">
        <f t="array" aca="1" ref="G27" ca="1">_FV(C27,"Price")</f>
        <v>38.055</v>
      </c>
      <c r="H27" s="12">
        <f t="shared" ca="1" si="0"/>
        <v>875.26499999999999</v>
      </c>
      <c r="I27" s="12">
        <f t="shared" si="5"/>
        <v>529</v>
      </c>
      <c r="J27" s="12">
        <f t="shared" ca="1" si="6"/>
        <v>346.26499999999999</v>
      </c>
      <c r="K27" s="13">
        <f t="shared" ca="1" si="7"/>
        <v>0.65456521739130435</v>
      </c>
      <c r="L27" s="14">
        <f t="shared" ca="1" si="4"/>
        <v>1.2774929342569526E-2</v>
      </c>
    </row>
    <row r="28" spans="2:12" x14ac:dyDescent="0.25">
      <c r="B28" s="9" t="s">
        <v>17</v>
      </c>
      <c r="C28" s="10" t="e" vm="21">
        <v>#VALUE!</v>
      </c>
      <c r="D28" s="10" t="str" cm="1">
        <f t="array" aca="1" ref="D28" ca="1">_FV(C28,"Name")</f>
        <v>Selvita SA</v>
      </c>
      <c r="E28" s="10">
        <v>55</v>
      </c>
      <c r="F28" s="10">
        <v>56</v>
      </c>
      <c r="G28" s="11" cm="1">
        <f t="array" aca="1" ref="G28" ca="1">_FV(C28,"Price")</f>
        <v>30.55</v>
      </c>
      <c r="H28" s="12">
        <f t="shared" ca="1" si="0"/>
        <v>1680.25</v>
      </c>
      <c r="I28" s="12">
        <f t="shared" si="5"/>
        <v>3080</v>
      </c>
      <c r="J28" s="12">
        <f t="shared" ca="1" si="6"/>
        <v>-1399.75</v>
      </c>
      <c r="K28" s="13">
        <f t="shared" ca="1" si="7"/>
        <v>-0.45446428571428577</v>
      </c>
      <c r="L28" s="14">
        <f t="shared" ca="1" si="4"/>
        <v>2.4524087022618803E-2</v>
      </c>
    </row>
    <row r="29" spans="2:12" x14ac:dyDescent="0.25">
      <c r="B29" s="15" t="s">
        <v>18</v>
      </c>
      <c r="C29" s="16"/>
      <c r="D29" s="16"/>
      <c r="E29" s="16"/>
      <c r="F29" s="16"/>
      <c r="G29" s="16"/>
      <c r="H29" s="17">
        <f ca="1">SUM(H6:H28)</f>
        <v>68514.273271428581</v>
      </c>
      <c r="I29" s="17">
        <f>SUM(I6:I28)</f>
        <v>61651.038095238109</v>
      </c>
      <c r="J29" s="17">
        <f ca="1">H29-I29</f>
        <v>6863.235176190472</v>
      </c>
      <c r="K29" s="18">
        <f ca="1">H29/I29-1</f>
        <v>0.11132391908126826</v>
      </c>
      <c r="L29" s="19">
        <f ca="1">SUM(L6:L28)</f>
        <v>1.0000000000000002</v>
      </c>
    </row>
    <row r="36" spans="2:11" x14ac:dyDescent="0.25">
      <c r="B36" s="36" t="s">
        <v>19</v>
      </c>
      <c r="C36" s="37"/>
      <c r="E36" s="29" t="s">
        <v>25</v>
      </c>
      <c r="F36" s="29" t="s">
        <v>26</v>
      </c>
      <c r="G36" s="30" t="s">
        <v>27</v>
      </c>
      <c r="I36" s="20" t="s">
        <v>29</v>
      </c>
      <c r="J36" s="20" t="s">
        <v>30</v>
      </c>
      <c r="K36" s="34" t="s">
        <v>31</v>
      </c>
    </row>
    <row r="37" spans="2:11" x14ac:dyDescent="0.25">
      <c r="B37" s="9" t="s">
        <v>20</v>
      </c>
      <c r="C37" s="25">
        <f ca="1">H29</f>
        <v>68514.273271428581</v>
      </c>
      <c r="E37" s="9" t="str">
        <f>B5</f>
        <v>STOCKS</v>
      </c>
      <c r="F37" s="12">
        <f ca="1">SUM( H6:H20)</f>
        <v>25847.544971428593</v>
      </c>
      <c r="G37" s="31">
        <f ca="1">F37/$F$40</f>
        <v>0.37725781413502024</v>
      </c>
      <c r="I37" s="9">
        <v>1</v>
      </c>
      <c r="J37" s="10" t="str">
        <f ca="1">INDEX($D$6:$D$28,MATCH(LARGE($H$6:$H$28,I37),$H$6:$H$28,0))</f>
        <v>Invesco QQQ Mega Fund</v>
      </c>
      <c r="K37" s="25">
        <f ca="1">LARGE($H$6:$H$28,I37)</f>
        <v>14056</v>
      </c>
    </row>
    <row r="38" spans="2:11" x14ac:dyDescent="0.25">
      <c r="B38" s="9" t="s">
        <v>21</v>
      </c>
      <c r="C38" s="25">
        <f>I29</f>
        <v>61651.038095238109</v>
      </c>
      <c r="E38" s="9" t="str">
        <f>B21</f>
        <v>ETF'S</v>
      </c>
      <c r="F38" s="12">
        <f ca="1">SUM(H22:H24)</f>
        <v>26521.15</v>
      </c>
      <c r="G38" s="31">
        <f t="shared" ref="G38:G39" ca="1" si="8">F38/$F$40</f>
        <v>0.3870894155869225</v>
      </c>
      <c r="I38" s="9">
        <v>2</v>
      </c>
      <c r="J38" s="10" t="str">
        <f t="shared" ref="J38:J41" ca="1" si="9">INDEX($D$6:$D$28,MATCH(LARGE($H$6:$H$28,I38),$H$6:$H$28,0))</f>
        <v>SPDR Gold</v>
      </c>
      <c r="K38" s="25">
        <f t="shared" ref="K38:K41" ca="1" si="10">LARGE($H$6:$H$28,I38)</f>
        <v>13590.063300000002</v>
      </c>
    </row>
    <row r="39" spans="2:11" x14ac:dyDescent="0.25">
      <c r="B39" s="9" t="s">
        <v>22</v>
      </c>
      <c r="C39" s="25">
        <f ca="1">J29</f>
        <v>6863.235176190472</v>
      </c>
      <c r="E39" s="9" t="str">
        <f>B25</f>
        <v>ALTERNATIVE</v>
      </c>
      <c r="F39" s="12">
        <f ca="1">SUM(H26:H28)</f>
        <v>16145.578300000001</v>
      </c>
      <c r="G39" s="31">
        <f t="shared" ca="1" si="8"/>
        <v>0.23565277027805726</v>
      </c>
      <c r="I39" s="9">
        <v>3</v>
      </c>
      <c r="J39" s="10" t="str">
        <f t="shared" ca="1" si="9"/>
        <v>ASML Holding NV</v>
      </c>
      <c r="K39" s="25">
        <f t="shared" ca="1" si="10"/>
        <v>12239.389904761907</v>
      </c>
    </row>
    <row r="40" spans="2:11" x14ac:dyDescent="0.25">
      <c r="B40" s="9" t="s">
        <v>23</v>
      </c>
      <c r="C40" s="26">
        <f ca="1">K29</f>
        <v>0.11132391908126826</v>
      </c>
      <c r="E40" s="27" t="s">
        <v>28</v>
      </c>
      <c r="F40" s="32">
        <f ca="1">SUM(F37:F39)</f>
        <v>68514.273271428596</v>
      </c>
      <c r="G40" s="33">
        <f ca="1">SUM(G37:G39)</f>
        <v>1</v>
      </c>
      <c r="I40" s="9">
        <v>4</v>
      </c>
      <c r="J40" s="10" t="str">
        <f t="shared" ca="1" si="9"/>
        <v>State Street SPDR S&amp;P500</v>
      </c>
      <c r="K40" s="25">
        <f ca="1">LARGE($H$6:$H$28,I40)</f>
        <v>9112.380000000001</v>
      </c>
    </row>
    <row r="41" spans="2:11" x14ac:dyDescent="0.25">
      <c r="B41" s="27" t="s">
        <v>24</v>
      </c>
      <c r="C41" s="28">
        <f>COUNT(E6:E29)</f>
        <v>21</v>
      </c>
      <c r="I41" s="27">
        <v>5</v>
      </c>
      <c r="J41" s="35" t="str">
        <f t="shared" ca="1" si="9"/>
        <v>Vanguard 500 Index Fund;Institutional Select</v>
      </c>
      <c r="K41" s="28">
        <f t="shared" ca="1" si="10"/>
        <v>3352.7699999999995</v>
      </c>
    </row>
    <row r="45" spans="2:11" x14ac:dyDescent="0.25">
      <c r="B45" s="36" t="s">
        <v>32</v>
      </c>
      <c r="C45" s="37"/>
      <c r="E45" s="38" t="s">
        <v>33</v>
      </c>
      <c r="F45" s="38"/>
      <c r="G45" s="38"/>
      <c r="H45" s="38"/>
      <c r="I45" s="38"/>
      <c r="J45" s="38"/>
    </row>
    <row r="46" spans="2:11" x14ac:dyDescent="0.25">
      <c r="E46" s="39"/>
      <c r="F46" s="39"/>
      <c r="G46" s="39"/>
      <c r="H46" s="39"/>
      <c r="I46" s="39"/>
      <c r="J46" s="40"/>
    </row>
    <row r="47" spans="2:11" x14ac:dyDescent="0.25">
      <c r="E47" s="40"/>
      <c r="F47" s="40"/>
      <c r="G47" s="40"/>
      <c r="H47" s="40"/>
      <c r="I47" s="40"/>
      <c r="J47" s="40"/>
    </row>
  </sheetData>
  <mergeCells count="3">
    <mergeCell ref="B36:C36"/>
    <mergeCell ref="B45:C45"/>
    <mergeCell ref="E45:J45"/>
  </mergeCells>
  <conditionalFormatting sqref="J6:J28">
    <cfRule type="dataBar" priority="1">
      <dataBar>
        <cfvo type="min"/>
        <cfvo type="max"/>
        <color rgb="FF63C384"/>
      </dataBar>
      <extLst>
        <ext xmlns:x14="http://schemas.microsoft.com/office/spreadsheetml/2009/9/main" uri="{B025F937-C7B1-47D3-B67F-A62EFF666E3E}">
          <x14:id>{68B1BC53-918A-4219-9B26-1EA291BCDCF9}</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68B1BC53-918A-4219-9B26-1EA291BCDCF9}">
            <x14:dataBar minLength="0" maxLength="100" border="1" negativeBarBorderColorSameAsPositive="0">
              <x14:cfvo type="autoMin"/>
              <x14:cfvo type="autoMax"/>
              <x14:borderColor rgb="FF63C384"/>
              <x14:negativeFillColor rgb="FFFF0000"/>
              <x14:negativeBorderColor rgb="FFFF0000"/>
              <x14:axisColor rgb="FF000000"/>
            </x14:dataBar>
          </x14:cfRule>
          <xm:sqref>J6:J28</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DCA4A-C53B-4BC8-AAC7-EFBB0837A91A}">
  <dimension ref="B2:T17"/>
  <sheetViews>
    <sheetView workbookViewId="0">
      <selection activeCell="C3" sqref="C3"/>
    </sheetView>
  </sheetViews>
  <sheetFormatPr defaultRowHeight="15" x14ac:dyDescent="0.25"/>
  <cols>
    <col min="2" max="2" width="44.85546875" bestFit="1" customWidth="1"/>
    <col min="3" max="3" width="20.85546875" bestFit="1" customWidth="1"/>
    <col min="4" max="4" width="12" bestFit="1" customWidth="1"/>
  </cols>
  <sheetData>
    <row r="2" spans="2:20" x14ac:dyDescent="0.25">
      <c r="C2" s="4">
        <v>36454</v>
      </c>
    </row>
    <row r="3" spans="2:20" x14ac:dyDescent="0.25">
      <c r="B3" t="e" vm="1">
        <f>Sheet1!C6</f>
        <v>#VALUE!</v>
      </c>
      <c r="C3" t="str" cm="1">
        <f t="array" aca="1" ref="C3:D4" ca="1">_xlfn.STOCKHISTORY(Sheet1!B6,Sheet2!C2)</f>
        <v>Date</v>
      </c>
      <c r="D3" t="str">
        <f ca="1"/>
        <v>Close</v>
      </c>
      <c r="F3">
        <f ca="1">Sheet1!G6</f>
        <v>222.86</v>
      </c>
      <c r="G3">
        <f ca="1">Sheet1!H6</f>
        <v>768.33638095238371</v>
      </c>
      <c r="H3">
        <f>Sheet1!I6</f>
        <v>155.14285714285768</v>
      </c>
      <c r="I3">
        <f ca="1">Sheet1!J6</f>
        <v>613.19352380952603</v>
      </c>
      <c r="J3">
        <f ca="1">Sheet1!K6</f>
        <v>3.9524444444444446</v>
      </c>
      <c r="K3">
        <f ca="1">Sheet1!L6</f>
        <v>1.1214252801142835E-2</v>
      </c>
      <c r="L3">
        <f>Sheet1!M6</f>
        <v>0</v>
      </c>
      <c r="M3">
        <f>Sheet1!N6</f>
        <v>0</v>
      </c>
      <c r="N3">
        <f>Sheet1!O6</f>
        <v>0</v>
      </c>
      <c r="O3">
        <f>Sheet1!P6</f>
        <v>0</v>
      </c>
      <c r="P3">
        <f>Sheet1!Q6</f>
        <v>0</v>
      </c>
      <c r="Q3">
        <f>Sheet1!R6</f>
        <v>0</v>
      </c>
      <c r="R3">
        <f>Sheet1!S6</f>
        <v>0</v>
      </c>
      <c r="S3">
        <f>Sheet1!T6</f>
        <v>0</v>
      </c>
      <c r="T3">
        <f>Sheet1!U6</f>
        <v>0</v>
      </c>
    </row>
    <row r="4" spans="2:20" x14ac:dyDescent="0.25">
      <c r="B4" t="e" vm="2">
        <f>Sheet1!C7</f>
        <v>#VALUE!</v>
      </c>
      <c r="C4" vm="22">
        <f ca="1"/>
        <v>36454</v>
      </c>
      <c r="D4" vm="23">
        <f ca="1"/>
        <v>4.3880000000000002E-2</v>
      </c>
    </row>
    <row r="5" spans="2:20" x14ac:dyDescent="0.25">
      <c r="B5" t="e" vm="3">
        <f>Sheet1!C8</f>
        <v>#VALUE!</v>
      </c>
      <c r="C5" t="str" cm="1">
        <f t="array" aca="1" ref="C5:D6" ca="1">_xlfn.STOCKHISTORY(Sheet1!B8,Sheet2!C4)</f>
        <v>Date</v>
      </c>
      <c r="D5" t="str">
        <f ca="1"/>
        <v>Close</v>
      </c>
    </row>
    <row r="6" spans="2:20" x14ac:dyDescent="0.25">
      <c r="B6" t="e" vm="4">
        <f>Sheet1!C9</f>
        <v>#VALUE!</v>
      </c>
      <c r="C6" vm="22">
        <f ca="1"/>
        <v>36454</v>
      </c>
      <c r="D6" vm="24">
        <f ca="1"/>
        <v>46.531300000000002</v>
      </c>
    </row>
    <row r="7" spans="2:20" x14ac:dyDescent="0.25">
      <c r="B7" t="e" vm="5">
        <f>Sheet1!C10</f>
        <v>#VALUE!</v>
      </c>
    </row>
    <row r="8" spans="2:20" x14ac:dyDescent="0.25">
      <c r="B8" t="e" vm="6">
        <f>Sheet1!C11</f>
        <v>#VALUE!</v>
      </c>
    </row>
    <row r="9" spans="2:20" x14ac:dyDescent="0.25">
      <c r="B9" t="e" vm="7">
        <f>Sheet1!C12</f>
        <v>#VALUE!</v>
      </c>
    </row>
    <row r="10" spans="2:20" x14ac:dyDescent="0.25">
      <c r="B10" t="e" vm="8">
        <f>Sheet1!C13</f>
        <v>#VALUE!</v>
      </c>
    </row>
    <row r="11" spans="2:20" x14ac:dyDescent="0.25">
      <c r="B11" t="e" vm="9">
        <f>Sheet1!C14</f>
        <v>#VALUE!</v>
      </c>
    </row>
    <row r="12" spans="2:20" x14ac:dyDescent="0.25">
      <c r="B12" t="e" vm="10">
        <f>Sheet1!C15</f>
        <v>#VALUE!</v>
      </c>
    </row>
    <row r="13" spans="2:20" x14ac:dyDescent="0.25">
      <c r="B13" t="e" vm="11">
        <f>Sheet1!C16</f>
        <v>#VALUE!</v>
      </c>
    </row>
    <row r="14" spans="2:20" x14ac:dyDescent="0.25">
      <c r="B14" t="e" vm="12">
        <f>Sheet1!C17</f>
        <v>#VALUE!</v>
      </c>
    </row>
    <row r="15" spans="2:20" x14ac:dyDescent="0.25">
      <c r="B15" t="e" vm="13">
        <f>Sheet1!C18</f>
        <v>#VALUE!</v>
      </c>
    </row>
    <row r="16" spans="2:20" x14ac:dyDescent="0.25">
      <c r="B16" t="e" vm="14">
        <f>Sheet1!C19</f>
        <v>#VALUE!</v>
      </c>
    </row>
    <row r="17" spans="2:2" x14ac:dyDescent="0.25">
      <c r="B17" t="e" vm="15">
        <f>Sheet1!C20</f>
        <v>#VALUE!</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Daghmoumi Nouri</dc:creator>
  <cp:lastModifiedBy>Daghmoumi Nouri</cp:lastModifiedBy>
  <dcterms:created xsi:type="dcterms:W3CDTF">2026-06-01T18:04:43Z</dcterms:created>
  <dcterms:modified xsi:type="dcterms:W3CDTF">2026-06-02T19:18:17Z</dcterms:modified>
</cp:coreProperties>
</file>